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xr:revisionPtr revIDLastSave="0" documentId="11_C37EFAD774D10A542F13F1A1688929BEAACF0371" xr6:coauthVersionLast="47" xr6:coauthVersionMax="47" xr10:uidLastSave="{00000000-0000-0000-0000-000000000000}"/>
  <bookViews>
    <workbookView xWindow="0" yWindow="0" windowWidth="18350" windowHeight="6800" tabRatio="677" activeTab="5" xr2:uid="{00000000-000D-0000-FFFF-FFFF00000000}"/>
  </bookViews>
  <sheets>
    <sheet name="Index" sheetId="11" r:id="rId1"/>
    <sheet name="Key-Specs" sheetId="4" r:id="rId2"/>
    <sheet name="Block Diagram" sheetId="5" r:id="rId3"/>
    <sheet name="MCU Options" sheetId="6" r:id="rId4"/>
    <sheet name="AAF Filter Options" sheetId="9" r:id="rId5"/>
    <sheet name="BOM" sheetId="7" r:id="rId6"/>
    <sheet name="Power Calculation" sheetId="15" r:id="rId7"/>
    <sheet name="Pin Mapping" sheetId="8" r:id="rId8"/>
    <sheet name="Status" sheetId="10" r:id="rId9"/>
    <sheet name="Order Status" sheetId="12" r:id="rId10"/>
    <sheet name="Open-Points" sheetId="13" r:id="rId11"/>
    <sheet name="Connector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T4" i="5"/>
  <c r="B4" i="5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84F7E67F2504571B2438E09B7549FD4" descr="Same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5045" y="1660525"/>
          <a:ext cx="10915650" cy="6426835"/>
        </a:xfrm>
        <a:prstGeom prst="rect">
          <a:avLst/>
        </a:prstGeom>
      </xdr:spPr>
    </xdr:pic>
  </etc:cellImage>
  <etc:cellImage>
    <xdr:pic>
      <xdr:nvPicPr>
        <xdr:cNvPr id="5" name="ID_D4F5F0387FC24B8BA1A1742422A9333F" descr="Sameer-Page-2.drawi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3365" y="1459865"/>
          <a:ext cx="12295505" cy="67513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<sst xmlns="http://schemas.openxmlformats.org/spreadsheetml/2006/main" count="987" uniqueCount="651">
  <si>
    <t>Project Name</t>
  </si>
  <si>
    <t>Compact Signal Processing Board (CSPB)</t>
  </si>
  <si>
    <t>Controller</t>
  </si>
  <si>
    <t>STM32H7 Series MCU</t>
  </si>
  <si>
    <t>Version</t>
  </si>
  <si>
    <t>Date</t>
  </si>
  <si>
    <t xml:space="preserve">Sr no. </t>
  </si>
  <si>
    <t>Sheet Name</t>
  </si>
  <si>
    <t>Remark</t>
  </si>
  <si>
    <t>Key-Specs</t>
  </si>
  <si>
    <t>Block Diagram</t>
  </si>
  <si>
    <t>MCU Options</t>
  </si>
  <si>
    <t xml:space="preserve">AAF Filter Options </t>
  </si>
  <si>
    <t>BOM</t>
  </si>
  <si>
    <t xml:space="preserve">Power Calculation </t>
  </si>
  <si>
    <t>Pin Mapping</t>
  </si>
  <si>
    <t>Status</t>
  </si>
  <si>
    <t>Order Status</t>
  </si>
  <si>
    <t>Open-Points</t>
  </si>
  <si>
    <t>Connector Details</t>
  </si>
  <si>
    <t>Back</t>
  </si>
  <si>
    <t>Sr No.</t>
  </si>
  <si>
    <t>Description</t>
  </si>
  <si>
    <t>Nos.</t>
  </si>
  <si>
    <t>MCU</t>
  </si>
  <si>
    <t>Timers</t>
  </si>
  <si>
    <t>In-built</t>
  </si>
  <si>
    <t>16-bit</t>
  </si>
  <si>
    <t>ADC</t>
  </si>
  <si>
    <t>12-bit resolution; Available ADC = 3</t>
  </si>
  <si>
    <t>UART</t>
  </si>
  <si>
    <t>Minimum 2 UART; Available UART upto 9 depend on the MCU</t>
  </si>
  <si>
    <t>Flash</t>
  </si>
  <si>
    <t>Upto 2 MB; depends on the MCU</t>
  </si>
  <si>
    <t>SRAM</t>
  </si>
  <si>
    <t>Upto 1 MB; Depends on the MCU</t>
  </si>
  <si>
    <t>Communication</t>
  </si>
  <si>
    <t>RS232 Interface</t>
  </si>
  <si>
    <t>TTL to RS232 converter (Programming + Debug)</t>
  </si>
  <si>
    <t>RS422 Interface</t>
  </si>
  <si>
    <t>TTL to RS422 converter/isolator</t>
  </si>
  <si>
    <t>Power</t>
  </si>
  <si>
    <t>AC / DC input</t>
  </si>
  <si>
    <t>+24V DC nominal input</t>
  </si>
  <si>
    <t>DC / DC Converter</t>
  </si>
  <si>
    <t xml:space="preserve">+24VDC to +5VDC </t>
  </si>
  <si>
    <t>LDO</t>
  </si>
  <si>
    <t>+5V to +3.3VDC</t>
  </si>
  <si>
    <t>Connectors</t>
  </si>
  <si>
    <t>IF Connector</t>
  </si>
  <si>
    <t>MMCX-P-P-H-ST-TH1 type (Samtech make)</t>
  </si>
  <si>
    <t>RF Connector</t>
  </si>
  <si>
    <t>0530471210 (12-pin Molex connector)</t>
  </si>
  <si>
    <t>Interface Connector</t>
  </si>
  <si>
    <t>09-0428-00-08 (8-pin circular connector)</t>
  </si>
  <si>
    <t>Indicators</t>
  </si>
  <si>
    <t>POWER On LED</t>
  </si>
  <si>
    <t>Indicates +5VDC active</t>
  </si>
  <si>
    <t>Enclosure</t>
  </si>
  <si>
    <t>Mounting Arrangement</t>
  </si>
  <si>
    <t>Board Dimension</t>
  </si>
  <si>
    <t>- Max PCB dimension 60mm × 60mm as per system specs.
- Maintain height ≤ 20mm from board base to topmost component.</t>
  </si>
  <si>
    <t>Operating Temperature range</t>
  </si>
  <si>
    <t>Operating Temperature Range</t>
  </si>
  <si>
    <t>-40°C to +85°C</t>
  </si>
  <si>
    <t>Storage Temperature range</t>
  </si>
  <si>
    <t>Storage Temperature Range</t>
  </si>
  <si>
    <t>-60°C to +95°C</t>
  </si>
  <si>
    <t>Compliance</t>
  </si>
  <si>
    <t>EMI / ESD Protection</t>
  </si>
  <si>
    <t>Input line protected with reverse polarity, ESD diode &amp; EMI filter</t>
  </si>
  <si>
    <t>Clock Source</t>
  </si>
  <si>
    <t>TCXO with &lt;25 ps jitter for stable operation</t>
  </si>
  <si>
    <t>AAF Circuit</t>
  </si>
  <si>
    <t>Programmable cutoff 0.5 MHz (5-pole active filter)</t>
  </si>
  <si>
    <t>BLOCK DIAGRAM</t>
  </si>
  <si>
    <t>BLOCK DIAGRAM WITH PART NUMBER</t>
  </si>
  <si>
    <t>COMPARISON BETWEEN STM32H743, STM32H723, STM32H750 &amp; STM32H563</t>
  </si>
  <si>
    <t>Feature</t>
  </si>
  <si>
    <t>STM32H743</t>
  </si>
  <si>
    <t>STM32H723</t>
  </si>
  <si>
    <t>STM32H750</t>
  </si>
  <si>
    <t>STM32H563</t>
  </si>
  <si>
    <t>Core Architecture</t>
  </si>
  <si>
    <t>ARM Cortex-M7 (DP-FPU)</t>
  </si>
  <si>
    <t>ARM Cortex-M33 (TrustZone + FPU)</t>
  </si>
  <si>
    <t>Max Clock Speed</t>
  </si>
  <si>
    <t>480 MHz</t>
  </si>
  <si>
    <t>550 MHz</t>
  </si>
  <si>
    <t>250 MHz</t>
  </si>
  <si>
    <t>Performance</t>
  </si>
  <si>
    <t>~1027 DMIPS / 2140 CoreMark</t>
  </si>
  <si>
    <t>2778 CoreMark</t>
  </si>
  <si>
    <t>~1027 DMIPS</t>
  </si>
  <si>
    <t>~375 DMIPS / 1020 CoreMark</t>
  </si>
  <si>
    <t>Flash Memory</t>
  </si>
  <si>
    <t>Up to 2 MB dual-bank</t>
  </si>
  <si>
    <t>Up to 1 MB</t>
  </si>
  <si>
    <t>128 KB</t>
  </si>
  <si>
    <t>1 MB (192 KB TCM + 864 KB SRAM + 4 KB Backup)</t>
  </si>
  <si>
    <t>564 KB (ECC)</t>
  </si>
  <si>
    <t>1 MB</t>
  </si>
  <si>
    <t>640 KB</t>
  </si>
  <si>
    <t>Cache</t>
  </si>
  <si>
    <t>16 KB I + 16 KB D</t>
  </si>
  <si>
    <t>32 KB I + 32 KB D</t>
  </si>
  <si>
    <t>3 × 12-bit @ 3.6 MSPS</t>
  </si>
  <si>
    <t>2 × 12-bit @ 5 MSPS</t>
  </si>
  <si>
    <t>DAC</t>
  </si>
  <si>
    <t>2 × 12-bit</t>
  </si>
  <si>
    <t>1 × 12-bit</t>
  </si>
  <si>
    <t>Op-Amp / Comparator</t>
  </si>
  <si>
    <t>2 / 2</t>
  </si>
  <si>
    <t>Crypto / Security</t>
  </si>
  <si>
    <t>AES, HASH, TDES, HMAC</t>
  </si>
  <si>
    <t>AES, HASH, OTFDEC</t>
  </si>
  <si>
    <t>AES, HASH, TDES</t>
  </si>
  <si>
    <t>AES, SHA, PKA, TrustZone, OTFDEC</t>
  </si>
  <si>
    <t>USB</t>
  </si>
  <si>
    <t>HS + FS (ULPI)</t>
  </si>
  <si>
    <t>HS/FS OTG</t>
  </si>
  <si>
    <t>HS + FS</t>
  </si>
  <si>
    <t>FS + Type-C PD 3.1</t>
  </si>
  <si>
    <t>UARTs</t>
  </si>
  <si>
    <t>Upto 9</t>
  </si>
  <si>
    <t>Upto 6</t>
  </si>
  <si>
    <t>CAN</t>
  </si>
  <si>
    <t>2 × FDCAN + TT</t>
  </si>
  <si>
    <t>3 × FDCAN</t>
  </si>
  <si>
    <t>2 × FDCAN</t>
  </si>
  <si>
    <t>External Memory Interface</t>
  </si>
  <si>
    <t>FMC + Quad-SPI</t>
  </si>
  <si>
    <t>FMC + 2 × Octo-SPI</t>
  </si>
  <si>
    <t>LCD / Graphics</t>
  </si>
  <si>
    <t>LCD-TFT + JPEG + Chrom-ART</t>
  </si>
  <si>
    <t>LCD-TFT</t>
  </si>
  <si>
    <t>—</t>
  </si>
  <si>
    <t>Operating Voltage</t>
  </si>
  <si>
    <t>1.62 – 3.6 V</t>
  </si>
  <si>
    <t>1.71 – 3.6 V</t>
  </si>
  <si>
    <t>Low Power Modes</t>
  </si>
  <si>
    <t>Sleep, Stop, Standby</t>
  </si>
  <si>
    <t>Standby Current</t>
  </si>
  <si>
    <t>2.95 µA</t>
  </si>
  <si>
    <t>2.9 µA (RTC ON)</t>
  </si>
  <si>
    <t>USB-C PD</t>
  </si>
  <si>
    <t>No</t>
  </si>
  <si>
    <t>Yes</t>
  </si>
  <si>
    <t>TrustZone / Secure Boot</t>
  </si>
  <si>
    <t>Optional (SB-SFU)</t>
  </si>
  <si>
    <t>Optional</t>
  </si>
  <si>
    <t>Yes (TZ + SB-SFU)</t>
  </si>
  <si>
    <t>Package Options</t>
  </si>
  <si>
    <t>LQFP/UFBGA/TFBGA (100–240 pins)</t>
  </si>
  <si>
    <t>LQFP/UFBGA (100–176 pins)</t>
  </si>
  <si>
    <t>LQFP, UFBGA, WLCSP (64–225 pins)</t>
  </si>
  <si>
    <t>Target Use</t>
  </si>
  <si>
    <t>High-performance MCU with graphics</t>
  </si>
  <si>
    <t>High-speed secure MCU</t>
  </si>
  <si>
    <t>Cost-optimized MCU</t>
  </si>
  <si>
    <t>Secure IoT / Low-power MCU</t>
  </si>
  <si>
    <t>Parameter</t>
  </si>
  <si>
    <t>LTC1069-7</t>
  </si>
  <si>
    <t>LTC1560-1</t>
  </si>
  <si>
    <t>LTC1569-7</t>
  </si>
  <si>
    <t>LTC1565-31</t>
  </si>
  <si>
    <t>Filter Type / Order</t>
  </si>
  <si>
    <t>8th Order Linear Phase Lowpass</t>
  </si>
  <si>
    <t>5th Order Elliptic Lowpass</t>
  </si>
  <si>
    <t>10th Order Linear Phase Lowpass</t>
  </si>
  <si>
    <t>7th Order Linear Phase Lowpass</t>
  </si>
  <si>
    <t>Cutoff Frequency (typ)</t>
  </si>
  <si>
    <t>100 kHz (fCLK / 25)</t>
  </si>
  <si>
    <t>500 kHz or 1 MHz (pin selectable)</t>
  </si>
  <si>
    <t>Up to 300 kHz (5V) / 150 kHz (3V)</t>
  </si>
  <si>
    <t>650 kHz</t>
  </si>
  <si>
    <t>Filter Response Type</t>
  </si>
  <si>
    <t>Raised Cosine (α=1)</t>
  </si>
  <si>
    <t>Elliptic (Low noise, high selectivity)</t>
  </si>
  <si>
    <t>Root Raised Cosine (linear phase)</t>
  </si>
  <si>
    <t>Linear Phase</t>
  </si>
  <si>
    <t>Phase Response</t>
  </si>
  <si>
    <t>Linear Phase (≤ ±3° deviation)</t>
  </si>
  <si>
    <t>Controlled group delay (not linear)</t>
  </si>
  <si>
    <t>Linear Phase (root raised cosine)</t>
  </si>
  <si>
    <t>Linear Phase (ratio 2.0 @ 300–600kHz)</t>
  </si>
  <si>
    <t>Supply Voltage Range</t>
  </si>
  <si>
    <t>Single 5V to ±5V</t>
  </si>
  <si>
    <t>±4.5V to ±5.5V</t>
  </si>
  <si>
    <t>3V to ±5V</t>
  </si>
  <si>
    <t>4.75V to ±5V</t>
  </si>
  <si>
    <t>Power Supply Current (typ)</t>
  </si>
  <si>
    <t>15 mA (5V single supply)</t>
  </si>
  <si>
    <t>29 mA</t>
  </si>
  <si>
    <t>9 mA (3V) / 10 mA (5V)</t>
  </si>
  <si>
    <t>24–25 mA</t>
  </si>
  <si>
    <t>0°C to 70°C / –40°C to 85°C</t>
  </si>
  <si>
    <t>Input Type</t>
  </si>
  <si>
    <t>Single-ended</t>
  </si>
  <si>
    <t>Differential / Single-ended</t>
  </si>
  <si>
    <t>Differential</t>
  </si>
  <si>
    <t>Output Type</t>
  </si>
  <si>
    <t>Gain at fCUTOFF (typ)</t>
  </si>
  <si>
    <t>–3.5 dB</t>
  </si>
  <si>
    <t>–1.0 dB (1 MHz mode)</t>
  </si>
  <si>
    <t>–3.8 dB</t>
  </si>
  <si>
    <t>–4.0 dB @ 650kHz</t>
  </si>
  <si>
    <t>Stopband Attenuation</t>
  </si>
  <si>
    <t>–43 dB @ 2×fCUTOFF</t>
  </si>
  <si>
    <t>–63 dB @ 2.43×fCUTOFF</t>
  </si>
  <si>
    <t>–60 dB @ 2×fCUTOFF, –80 dB @ 6×fCUTOFF</t>
  </si>
  <si>
    <t>–72 dB @ 3×fCUTOFF</t>
  </si>
  <si>
    <t>Signal-to-Noise Ratio (SNR)</t>
  </si>
  <si>
    <t>≥ 60 dB (2 VRMS input)</t>
  </si>
  <si>
    <t>75 dB max</t>
  </si>
  <si>
    <t>80 dB (VS = 5V)</t>
  </si>
  <si>
    <t>78 dB</t>
  </si>
  <si>
    <t>Total Harmonic Distortion (THD)</t>
  </si>
  <si>
    <t>Low (typ 0.1%)</t>
  </si>
  <si>
    <t>–63 dB @ 1 VRMS input</t>
  </si>
  <si>
    <t>–74 dB</t>
  </si>
  <si>
    <t>–75 dB (typ)</t>
  </si>
  <si>
    <t>Output Voltage Swing</t>
  </si>
  <si>
    <t>±4.0V (±5V supply)</t>
  </si>
  <si>
    <t>±3V (RL = 5k)</t>
  </si>
  <si>
    <t>3.9 VP-P (5V) / 8.6 VP-P (±5V)</t>
  </si>
  <si>
    <t>±1.7V (5V) / ±2.3V (±5V)</t>
  </si>
  <si>
    <t>DC Offset (typ)</t>
  </si>
  <si>
    <t>25–50 mV</t>
  </si>
  <si>
    <t>±250 mV</t>
  </si>
  <si>
    <t>≤5 mV</t>
  </si>
  <si>
    <t>±5 mV</t>
  </si>
  <si>
    <t>Power Dissipation</t>
  </si>
  <si>
    <t>400 mW</t>
  </si>
  <si>
    <t>500 mW</t>
  </si>
  <si>
    <t>Package Type</t>
  </si>
  <si>
    <t>SO-8</t>
  </si>
  <si>
    <t>S.No.</t>
  </si>
  <si>
    <t>Designator</t>
  </si>
  <si>
    <t>Component</t>
  </si>
  <si>
    <t>Value / Description</t>
  </si>
  <si>
    <t>Package</t>
  </si>
  <si>
    <t>Qty</t>
  </si>
  <si>
    <t>Notes</t>
  </si>
  <si>
    <t>Current Consumption</t>
  </si>
  <si>
    <t>Updated Part Number</t>
  </si>
  <si>
    <t>U1</t>
  </si>
  <si>
    <t>STM32H7-series</t>
  </si>
  <si>
    <t>STM32H743VIT6</t>
  </si>
  <si>
    <t>LQFP100</t>
  </si>
  <si>
    <t>MCU (STM32H743VIT6)</t>
  </si>
  <si>
    <t xml:space="preserve">Main MCU, select exact variant </t>
  </si>
  <si>
    <t>550mA when all Peripherals are enable</t>
  </si>
  <si>
    <t>Y_HSE</t>
  </si>
  <si>
    <t>High-speed crystal</t>
  </si>
  <si>
    <t>8-25 MHz</t>
  </si>
  <si>
    <t xml:space="preserve">SMD </t>
  </si>
  <si>
    <t>Crystal</t>
  </si>
  <si>
    <t>HSE external clock source</t>
  </si>
  <si>
    <t>Y_LSE</t>
  </si>
  <si>
    <t xml:space="preserve">Low-speed crystal </t>
  </si>
  <si>
    <t>32.768 kHz</t>
  </si>
  <si>
    <t>U2</t>
  </si>
  <si>
    <t>MAXM17631</t>
  </si>
  <si>
    <t>MAXM17631AME+T</t>
  </si>
  <si>
    <t>16-SMD</t>
  </si>
  <si>
    <t>MAXM17632 (+4.5V to +36V into +5V@1A)</t>
  </si>
  <si>
    <t>Step-down power module</t>
  </si>
  <si>
    <t>50mA</t>
  </si>
  <si>
    <t>U3</t>
  </si>
  <si>
    <t>TLV75533</t>
  </si>
  <si>
    <t>TLV75533PDYDR</t>
  </si>
  <si>
    <t>SOT23-5</t>
  </si>
  <si>
    <t>TLV75533PDYDR (+5V to +3.3V@0.5A)</t>
  </si>
  <si>
    <t>40 µA</t>
  </si>
  <si>
    <t>U4</t>
  </si>
  <si>
    <t>SN65C3232E</t>
  </si>
  <si>
    <t>SN65C3232EDR</t>
  </si>
  <si>
    <t>16-SOIC</t>
  </si>
  <si>
    <t xml:space="preserve">TTL TO RS232 </t>
  </si>
  <si>
    <t>Two-Channel RS-232 1-MBIT/S Line Drivers and Receivers</t>
  </si>
  <si>
    <t>90mA</t>
  </si>
  <si>
    <t>U5</t>
  </si>
  <si>
    <t>SN65HVD31</t>
  </si>
  <si>
    <t>SN65HVD31DR</t>
  </si>
  <si>
    <t>8-SOIC</t>
  </si>
  <si>
    <t xml:space="preserve">TTL TO RS422 </t>
  </si>
  <si>
    <t>Full-Duplex RS-422/RS-485 Drivers and Receivers</t>
  </si>
  <si>
    <t>U6</t>
  </si>
  <si>
    <t>S25FL128SAGN</t>
  </si>
  <si>
    <t>S25FL128SAGNFI003</t>
  </si>
  <si>
    <t>8-WSON</t>
  </si>
  <si>
    <t>FLASH</t>
  </si>
  <si>
    <t>IC FLASH 128MBIT SPI/QUAD 8WSON</t>
  </si>
  <si>
    <t>100mA</t>
  </si>
  <si>
    <t>U7</t>
  </si>
  <si>
    <t>23LC1024</t>
  </si>
  <si>
    <t>23LC1024-I/SN</t>
  </si>
  <si>
    <t>1Mbit SPI Serial SRAM with SDI &amp; SQI Interface</t>
  </si>
  <si>
    <t>10mA</t>
  </si>
  <si>
    <t>U8</t>
  </si>
  <si>
    <t>LTC1560-1IS8#PBF</t>
  </si>
  <si>
    <t>AAF (Anti-Aliasing Fliter)</t>
  </si>
  <si>
    <t>1MHz/500kHz Continuous Time, Low Noise, Lowpass Elliptic Filter</t>
  </si>
  <si>
    <t>30mA</t>
  </si>
  <si>
    <t>CONNECTOR</t>
  </si>
  <si>
    <t>Part no: 0530471210</t>
  </si>
  <si>
    <t>Digikey</t>
  </si>
  <si>
    <t>Part no: MMCX-P-P-H-ST-TH1 type</t>
  </si>
  <si>
    <t>E14</t>
  </si>
  <si>
    <t>Part no: 09-0428-00-08</t>
  </si>
  <si>
    <t>S.No</t>
  </si>
  <si>
    <t>Rail</t>
  </si>
  <si>
    <t>Current (mA)</t>
  </si>
  <si>
    <t>Power (W)</t>
  </si>
  <si>
    <t>3.3V</t>
  </si>
  <si>
    <t>MCU, all peripherals enabled</t>
  </si>
  <si>
    <t>DC-DC (MAXM17634) 28V-&gt;5V</t>
  </si>
  <si>
    <t>28V input / 5V out</t>
  </si>
  <si>
    <t>Buck module; specs: leakage 23.2uA, current limit 30mA (alt), charging 5uA; assume it supplies 5V rail</t>
  </si>
  <si>
    <t>LDL1117 LDO 5V-&gt;3.3V</t>
  </si>
  <si>
    <t>5V in / 3.3V out</t>
  </si>
  <si>
    <t>LDO quiescent 500 uA</t>
  </si>
  <si>
    <t>TTL to RS232 (SN65C232E)</t>
  </si>
  <si>
    <t/>
  </si>
  <si>
    <t>TTL to RS422 (SN65HVD31)</t>
  </si>
  <si>
    <t>Flash (S25FL128SAGN)</t>
  </si>
  <si>
    <t>SRAM (23LC1024)</t>
  </si>
  <si>
    <t>RF Connector (J2)</t>
  </si>
  <si>
    <t>5V</t>
  </si>
  <si>
    <t>RF load</t>
  </si>
  <si>
    <t>LDO Output (3.3V rail total)</t>
  </si>
  <si>
    <t>Total 3.3V device power</t>
  </si>
  <si>
    <t>Buck Output (5V rail total)</t>
  </si>
  <si>
    <t xml:space="preserve">Provides 5V to RF + LDO </t>
  </si>
  <si>
    <t>Summary</t>
  </si>
  <si>
    <t>Value</t>
  </si>
  <si>
    <t>Total 3.3V load (mA)</t>
  </si>
  <si>
    <t>Total 5V load (mA)</t>
  </si>
  <si>
    <t>Buck input current (mA) at 28V</t>
  </si>
  <si>
    <t>Total system input power at 28V (W)</t>
  </si>
  <si>
    <t>Total device power (excluding regulator losses) (W)</t>
  </si>
  <si>
    <t>LDO dissipation (W)</t>
  </si>
  <si>
    <t>Buck loss (W)</t>
  </si>
  <si>
    <t>PIN MAPPING FOR STM32H743VIT6</t>
  </si>
  <si>
    <t>Pin Number</t>
  </si>
  <si>
    <t>Pin Name</t>
  </si>
  <si>
    <t>Primary Function</t>
  </si>
  <si>
    <t>CSPB Mapping</t>
  </si>
  <si>
    <t>VDD/GND</t>
  </si>
  <si>
    <t>PE2</t>
  </si>
  <si>
    <t>QSPI_BK1_IO2</t>
  </si>
  <si>
    <t>FLASH QSPI</t>
  </si>
  <si>
    <t>PE3</t>
  </si>
  <si>
    <t>GPIO</t>
  </si>
  <si>
    <t>PE4</t>
  </si>
  <si>
    <t>PE5</t>
  </si>
  <si>
    <t>PE6</t>
  </si>
  <si>
    <t>VBAT</t>
  </si>
  <si>
    <t>-</t>
  </si>
  <si>
    <t>PC13</t>
  </si>
  <si>
    <t>MODULATION WAVEFORM TEST (J1)</t>
  </si>
  <si>
    <t>PC14-OSC32_IN</t>
  </si>
  <si>
    <t>OSC 32.768KHz</t>
  </si>
  <si>
    <t>CRYSTAL</t>
  </si>
  <si>
    <t>PC15-OSC32_OUT</t>
  </si>
  <si>
    <t>VSS</t>
  </si>
  <si>
    <t>GND</t>
  </si>
  <si>
    <t>VDD</t>
  </si>
  <si>
    <t>PH0-OSC_IN</t>
  </si>
  <si>
    <t>OSC (4-25MHz)</t>
  </si>
  <si>
    <t>PH1-OSC_OUT</t>
  </si>
  <si>
    <t>NRST</t>
  </si>
  <si>
    <t>NRST FOR SWD (J4)</t>
  </si>
  <si>
    <t>PC0</t>
  </si>
  <si>
    <t>PC1</t>
  </si>
  <si>
    <t>PC2_C</t>
  </si>
  <si>
    <t>PC3_C</t>
  </si>
  <si>
    <t>VSSA</t>
  </si>
  <si>
    <t>AGND</t>
  </si>
  <si>
    <t>VREF+</t>
  </si>
  <si>
    <t>VOLTAGE REF</t>
  </si>
  <si>
    <t>VREF</t>
  </si>
  <si>
    <t>VDDA</t>
  </si>
  <si>
    <t>AVDD</t>
  </si>
  <si>
    <t>PA0</t>
  </si>
  <si>
    <t>DA_D0 (J2)</t>
  </si>
  <si>
    <t>PA1</t>
  </si>
  <si>
    <t>DA_D1 (J2)</t>
  </si>
  <si>
    <t>PA2</t>
  </si>
  <si>
    <t>DA_D2 (J2)</t>
  </si>
  <si>
    <t>PA3</t>
  </si>
  <si>
    <t>DA_D3 (J2)</t>
  </si>
  <si>
    <t>PA4</t>
  </si>
  <si>
    <t>SPI1_NSS</t>
  </si>
  <si>
    <t>PA5</t>
  </si>
  <si>
    <t>SPI1_SCK</t>
  </si>
  <si>
    <t>PA6</t>
  </si>
  <si>
    <t>SPI1_MISO</t>
  </si>
  <si>
    <t>PA7</t>
  </si>
  <si>
    <t>SPI1_MOSI</t>
  </si>
  <si>
    <t>PC4</t>
  </si>
  <si>
    <t>OPAMP1-VOUT</t>
  </si>
  <si>
    <t>PC5</t>
  </si>
  <si>
    <t>OPAMP1-VINM(-VE)</t>
  </si>
  <si>
    <t>PB0</t>
  </si>
  <si>
    <t>OPAMP1-VINM(+VE)</t>
  </si>
  <si>
    <t>PB1</t>
  </si>
  <si>
    <t>ADC1</t>
  </si>
  <si>
    <t>INTERNAL ADC1,2</t>
  </si>
  <si>
    <t>PB2</t>
  </si>
  <si>
    <t>QSPI_CLK</t>
  </si>
  <si>
    <t>PE7</t>
  </si>
  <si>
    <t>PE8</t>
  </si>
  <si>
    <t>PE9</t>
  </si>
  <si>
    <t>PE10</t>
  </si>
  <si>
    <t>PE11</t>
  </si>
  <si>
    <t>SPI4_NSS</t>
  </si>
  <si>
    <t xml:space="preserve">FOR SRAM </t>
  </si>
  <si>
    <t>PE12</t>
  </si>
  <si>
    <t>SPI4_SCK</t>
  </si>
  <si>
    <t>PE13</t>
  </si>
  <si>
    <t>SPI4_MISO</t>
  </si>
  <si>
    <t>PE14</t>
  </si>
  <si>
    <t>SPI4_MOSI</t>
  </si>
  <si>
    <t>PE15</t>
  </si>
  <si>
    <t>PB10</t>
  </si>
  <si>
    <t>SPI2_SCK, USART3_TX, QSPI_BK1_NCS</t>
  </si>
  <si>
    <t>PB11</t>
  </si>
  <si>
    <t>USART3_RX</t>
  </si>
  <si>
    <t>VCAP</t>
  </si>
  <si>
    <t>PB12</t>
  </si>
  <si>
    <t>SPI2_NSS, UART5_RX</t>
  </si>
  <si>
    <t>RS422</t>
  </si>
  <si>
    <t>PB13</t>
  </si>
  <si>
    <t>SPI2_SCK, USART5_TX</t>
  </si>
  <si>
    <t>PB14</t>
  </si>
  <si>
    <t>PB15</t>
  </si>
  <si>
    <t>PD8</t>
  </si>
  <si>
    <t>PD9</t>
  </si>
  <si>
    <t>PD10</t>
  </si>
  <si>
    <t>PD11</t>
  </si>
  <si>
    <t>QSPI_BK1_IO0</t>
  </si>
  <si>
    <t>PD12</t>
  </si>
  <si>
    <t>QSPI_BK1_IO1</t>
  </si>
  <si>
    <t>PD13</t>
  </si>
  <si>
    <t>QSPI_BK1_IO3</t>
  </si>
  <si>
    <t>PD14</t>
  </si>
  <si>
    <t>PD15</t>
  </si>
  <si>
    <t>PC6</t>
  </si>
  <si>
    <t>PC7</t>
  </si>
  <si>
    <t>PC8</t>
  </si>
  <si>
    <t>PC9</t>
  </si>
  <si>
    <t>PA8</t>
  </si>
  <si>
    <t>PA9</t>
  </si>
  <si>
    <t>SPI2_SCK, USART1_TX</t>
  </si>
  <si>
    <t xml:space="preserve">RS232 </t>
  </si>
  <si>
    <t>PA10</t>
  </si>
  <si>
    <t>USART1_RX</t>
  </si>
  <si>
    <t>PA11</t>
  </si>
  <si>
    <t>PA12</t>
  </si>
  <si>
    <t>PA13(JTMS)</t>
  </si>
  <si>
    <t>JTMS-SWDIO</t>
  </si>
  <si>
    <t>SWDIO (J4)</t>
  </si>
  <si>
    <t>PA14(JTCK)</t>
  </si>
  <si>
    <t>JTCK-SWCLK</t>
  </si>
  <si>
    <t>SWCLK (J4)</t>
  </si>
  <si>
    <t>PA15(JTDI)</t>
  </si>
  <si>
    <t>PC10</t>
  </si>
  <si>
    <t>PC11</t>
  </si>
  <si>
    <t>PC12</t>
  </si>
  <si>
    <t>PD0</t>
  </si>
  <si>
    <t>PLL_CLK (J2)</t>
  </si>
  <si>
    <t>PD1</t>
  </si>
  <si>
    <t>PLL_DATA (J2)</t>
  </si>
  <si>
    <t>PD2</t>
  </si>
  <si>
    <t>PLL_LE (J2)</t>
  </si>
  <si>
    <t>PD3</t>
  </si>
  <si>
    <t>PLL_MUXOUT (J2)</t>
  </si>
  <si>
    <t>PD4</t>
  </si>
  <si>
    <t>PLL_TXDATA (J2)</t>
  </si>
  <si>
    <t>PD5</t>
  </si>
  <si>
    <t>PD6</t>
  </si>
  <si>
    <t>PD7</t>
  </si>
  <si>
    <t>PB3(JTDO)</t>
  </si>
  <si>
    <t>PB4(NJTRST)</t>
  </si>
  <si>
    <t>PB5</t>
  </si>
  <si>
    <t>PB6</t>
  </si>
  <si>
    <t>PB7</t>
  </si>
  <si>
    <t>BOOT0</t>
  </si>
  <si>
    <t>PB8</t>
  </si>
  <si>
    <t>PB9</t>
  </si>
  <si>
    <t>PE0</t>
  </si>
  <si>
    <t>PE1</t>
  </si>
  <si>
    <t>Component Name</t>
  </si>
  <si>
    <t>Category</t>
  </si>
  <si>
    <t>Symbol Created (Y/N)</t>
  </si>
  <si>
    <t>Schematic Done (Y/N)</t>
  </si>
  <si>
    <t>Layout Done</t>
  </si>
  <si>
    <t>Approval Status</t>
  </si>
  <si>
    <t>Remarks / Comments</t>
  </si>
  <si>
    <t>Date Updated</t>
  </si>
  <si>
    <t>Microcontroller</t>
  </si>
  <si>
    <t>DONE</t>
  </si>
  <si>
    <t>NOT STARTED</t>
  </si>
  <si>
    <t>Main MCU for system</t>
  </si>
  <si>
    <t>DC-DC Converter</t>
  </si>
  <si>
    <t>Power module for MCU and peripherals</t>
  </si>
  <si>
    <t>LDO Regulator</t>
  </si>
  <si>
    <t>LDO for low-voltage sections</t>
  </si>
  <si>
    <t>RS232 Driver</t>
  </si>
  <si>
    <t>UART to RS232 level conversion</t>
  </si>
  <si>
    <t>RS422 Transceiver</t>
  </si>
  <si>
    <t>CAN/RS485 communication interface</t>
  </si>
  <si>
    <t>SPI Flash Memory</t>
  </si>
  <si>
    <t>External Flash Memory for firmware storage</t>
  </si>
  <si>
    <t>SPI SRAM</t>
  </si>
  <si>
    <t>External SRAM for temporary storage</t>
  </si>
  <si>
    <t>AAF Filter</t>
  </si>
  <si>
    <t>Active filter IC for analog front-end</t>
  </si>
  <si>
    <t>Item Name</t>
  </si>
  <si>
    <t>Part Number</t>
  </si>
  <si>
    <t>Vendor</t>
  </si>
  <si>
    <t>Date of Order</t>
  </si>
  <si>
    <t>NUCLEO-H753ZI (Demo Board)</t>
  </si>
  <si>
    <t>STM32H753ZI</t>
  </si>
  <si>
    <t>Element-14</t>
  </si>
  <si>
    <t>Ordered</t>
  </si>
  <si>
    <t>MINUTES OF MEETING</t>
  </si>
  <si>
    <t>Meeting Subject : Compact Signal Processing Board</t>
  </si>
  <si>
    <t>Meeting Date: 14-11-2025</t>
  </si>
  <si>
    <t>Members</t>
  </si>
  <si>
    <t>Customer Name : 
1. Abhishek Dabi
2. Aditya Deodhar
Rezonet : 
1. Harshit Kumar Shakya
2. Avinash Kshirsagar
3. Madhusudan Gholap
4. Abhishek Tarate</t>
  </si>
  <si>
    <t>Venue:  SAMEER IIT Powai</t>
  </si>
  <si>
    <t>Start Time: 10:00 AM
End Time: 1:00 PM</t>
  </si>
  <si>
    <t>Item No.</t>
  </si>
  <si>
    <t>Discussion / Action Points</t>
  </si>
  <si>
    <t>Responsible</t>
  </si>
  <si>
    <t>When</t>
  </si>
  <si>
    <t>Status &amp; Date of closure</t>
  </si>
  <si>
    <t>Remarks</t>
  </si>
  <si>
    <t>Comments</t>
  </si>
  <si>
    <t>Status/Date of closer</t>
  </si>
  <si>
    <t>TVS diodes and polarity-protection components need to be reviewed and finalized for robust input protection.</t>
  </si>
  <si>
    <t>Rezonet</t>
  </si>
  <si>
    <t>Open</t>
  </si>
  <si>
    <t>Initial review of protection scheme completed. TVS diode selection shortlisted based on operating voltage and surge ratings. Polarity-protection options evaluated for forward drop and efficiency impact.</t>
  </si>
  <si>
    <t>An EMI filter is required at the input of the DC-DC converter for noise suppression.</t>
  </si>
  <si>
    <t>Need for an input EMI filter identified based on switching noise and conducted EMI considerations. Filter topology evaluation initiated.</t>
  </si>
  <si>
    <t>RF module is consuming up to 5V @ 350 mA; overall power budget needs to be recalculated accordingly.</t>
  </si>
  <si>
    <t>RF module power consumption evaluated. Updated load current significantly affects the 5V rail design and thermal considerations.</t>
  </si>
  <si>
    <t>Existing 5V @ 1A DC-DC regulator is insufficient; alternative regulators supporting 1.6A–2A output current must be evaluated.</t>
  </si>
  <si>
    <t>Existing 1A regulator insufficient for total load. Alternative DC-DC converter options with 1.6A–2A capability assessed.</t>
  </si>
  <si>
    <t>Closed</t>
  </si>
  <si>
    <t>DC-DC switching frequency is 1.8 MHz; verify operation, stability, and compatibility with nearby circuitry.</t>
  </si>
  <si>
    <t>Switching frequency verified at 1.8 MHz. Need to ensure compatibility with layout constraints, noise-sensitive blocks, and EMI limits.</t>
  </si>
  <si>
    <t>Capacitor values for the DC-DC converter must be calculated for stable switching and ripple reduction.</t>
  </si>
  <si>
    <t>Capacitor sizing for stable DC-DC behavior under varying load conditions needs detailed calculation.</t>
  </si>
  <si>
    <t>Anti-aliasing filter should be a passive 5-pole filter with defined cutoff frequency; detailed specifications will be shared later.</t>
  </si>
  <si>
    <t>Requirement confirmed for a passive 5-pole AA filter with defined cutoff frequency for accurate signal conditioning.</t>
  </si>
  <si>
    <t>Interface connector from board to panel must be finalized; need to evaluate feasible cable-assembly solutions.</t>
  </si>
  <si>
    <t>Connector/cable assembly options under evaluation for board-to-panel interface considering mechanical and electrical constraints.</t>
  </si>
  <si>
    <t>Multiple test points are required—near filters, sampling nodes, MWT signals, and other critical locations.</t>
  </si>
  <si>
    <t>Requirement for additional test points identified near critical analog, digital, and filter nodes.</t>
  </si>
  <si>
    <t>Additional LEDs are needed for system status indication; determine the number and placement based on functionality.</t>
  </si>
  <si>
    <t>Need for multiple status LEDs recognized for system diagnostics, operation monitoring, and fault indication.</t>
  </si>
  <si>
    <t>Operating temperature should be –40°C to +85°C, and storage temperature –60°C to +95°C; verify component ratings accordingly.</t>
  </si>
  <si>
    <t>Operating and storage temperature requirements confirmed as –40°C to +85°C and –60°C to +95°C respectively.</t>
  </si>
  <si>
    <t>If the interface is board-to-panel, check available connector options suitable for environment and mechanical constraints.</t>
  </si>
  <si>
    <t>Suitability of available connectors for board-to-panel communication under mechanical constraints being reviewed.</t>
  </si>
  <si>
    <t>SWD interface will be used for initial programming; later, transition to RS232-based programming is planned.</t>
  </si>
  <si>
    <t>SWD chosen for early development due to ease of debugging. Future migration to RS232 programming planned.</t>
  </si>
  <si>
    <t>Documentation specifying connectors, pin mapping, and signal definitions must be followed strictly.</t>
  </si>
  <si>
    <t>Reviewed documentation containing pin definitions and signal mapping. Must be strictly followed during schematic and layout.</t>
  </si>
  <si>
    <t>RF connector currently exposes GPIOs instead of SPI; firmware uses GPIO-based bit-banging for SPI. Hardware must adapt accordingly.</t>
  </si>
  <si>
    <t>RF interface currently uses GPIO-based SPI emulation. Hardware must account for timing constraints and routing.</t>
  </si>
  <si>
    <t>RF connector includes a Data Address Node requiring 6 GPIOs, and MWT requires 2 GPIOs; verify pin allocation.</t>
  </si>
  <si>
    <t>Pin count requirement verified. Total of 8 GPIOs reserved for RF data addressing and MWT signals.</t>
  </si>
  <si>
    <t>EMI and EMC considerations must be incorporated into the overall design.</t>
  </si>
  <si>
    <t>EMI and EMC compliance requirements acknowledged. Layout grounding, shielding, and filtering need detailed attention.</t>
  </si>
  <si>
    <t>Pin no.</t>
  </si>
  <si>
    <t>Signal Name</t>
  </si>
  <si>
    <t>Signal Description</t>
  </si>
  <si>
    <t>Signal</t>
  </si>
  <si>
    <t>Additional Info</t>
  </si>
  <si>
    <t>EXTERNAL INTERFACE CONNECTOR (J1)</t>
  </si>
  <si>
    <t>J1.1</t>
  </si>
  <si>
    <t>28VDC</t>
  </si>
  <si>
    <t>DC Power Supply</t>
  </si>
  <si>
    <t>I</t>
  </si>
  <si>
    <t>DC-DC</t>
  </si>
  <si>
    <t>J1.2</t>
  </si>
  <si>
    <t>28VDC_R</t>
  </si>
  <si>
    <t>DC Power Supply Return</t>
  </si>
  <si>
    <t>J1.3</t>
  </si>
  <si>
    <t>RS-422 Tx(L)-A</t>
  </si>
  <si>
    <t>RS422_1_Transmit Low</t>
  </si>
  <si>
    <t>O</t>
  </si>
  <si>
    <t>J1.4</t>
  </si>
  <si>
    <t>RS-422 Tx(H)-A</t>
  </si>
  <si>
    <t>RS422_1_Transmit High</t>
  </si>
  <si>
    <t>J1.5</t>
  </si>
  <si>
    <t>RS_232 Rx</t>
  </si>
  <si>
    <t>RS_232 Receive</t>
  </si>
  <si>
    <t>RS232</t>
  </si>
  <si>
    <t>J1.6</t>
  </si>
  <si>
    <t>RS_232 Tx</t>
  </si>
  <si>
    <t>RS_232 Transmit</t>
  </si>
  <si>
    <t>J1.7</t>
  </si>
  <si>
    <t>DGND</t>
  </si>
  <si>
    <t>Digital Ground</t>
  </si>
  <si>
    <t>J1.8</t>
  </si>
  <si>
    <t>MWT</t>
  </si>
  <si>
    <t>Modulation Waveform Test</t>
  </si>
  <si>
    <t>RF INTERFACE CONNECTOR (J2)</t>
  </si>
  <si>
    <t>J2.1</t>
  </si>
  <si>
    <t>5V_High</t>
  </si>
  <si>
    <t>J2.2</t>
  </si>
  <si>
    <t>J2.3</t>
  </si>
  <si>
    <t>PLL_CLK</t>
  </si>
  <si>
    <t>Digital I/P</t>
  </si>
  <si>
    <t>CUSTOM SPI</t>
  </si>
  <si>
    <t>J2.4</t>
  </si>
  <si>
    <t>PLL_DATA</t>
  </si>
  <si>
    <t>J2.5</t>
  </si>
  <si>
    <t>PLL_LE</t>
  </si>
  <si>
    <t>J2.6</t>
  </si>
  <si>
    <t>PLL_MUXOUT</t>
  </si>
  <si>
    <t>Digital O/P</t>
  </si>
  <si>
    <t>J2.7</t>
  </si>
  <si>
    <t>J2.8</t>
  </si>
  <si>
    <t>DA_D0</t>
  </si>
  <si>
    <t>DA LINES</t>
  </si>
  <si>
    <t>J2.9</t>
  </si>
  <si>
    <t>DA_D1</t>
  </si>
  <si>
    <t>J2.10</t>
  </si>
  <si>
    <t>DA_D2</t>
  </si>
  <si>
    <t>J2.11</t>
  </si>
  <si>
    <t>DA_D3</t>
  </si>
  <si>
    <t>J2.12</t>
  </si>
  <si>
    <t>PLL-Txdata</t>
  </si>
  <si>
    <t>SWD CONNECTOR (J4)</t>
  </si>
  <si>
    <t>J4.1</t>
  </si>
  <si>
    <t>3V3</t>
  </si>
  <si>
    <t>3V3 PWR</t>
  </si>
  <si>
    <t>J4.2</t>
  </si>
  <si>
    <t>SWCLK</t>
  </si>
  <si>
    <t>J4.3</t>
  </si>
  <si>
    <t>J4.4</t>
  </si>
  <si>
    <t>SWDIO</t>
  </si>
  <si>
    <t>J4.5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</si>
</sst>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"/>
    <numFmt numFmtId="165" formatCode="d/mmm/yy;@"/>
    <numFmt numFmtId="166" formatCode="dd/mm/yyyy"/>
  </numFmts>
  <fonts count="15">
    <font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9.75"/>
      <color rgb="FF222222"/>
      <name val="Arial"/>
      <charset val="134"/>
    </font>
    <font>
      <b/>
      <sz val="16"/>
      <color theme="0"/>
      <name val="Calibri"/>
      <charset val="134"/>
      <scheme val="minor"/>
    </font>
    <font>
      <u/>
      <sz val="11"/>
      <color rgb="FF0000FF"/>
      <name val="Calibri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/>
  </cellStyleXfs>
  <cellXfs count="4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0" xfId="0" applyFont="1" applyFill="1" applyBorder="1" applyAlignment="1"/>
    <xf numFmtId="0" fontId="3" fillId="0" borderId="11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6" xfId="0" applyFont="1" applyFill="1" applyBorder="1" applyAlignment="1"/>
    <xf numFmtId="0" fontId="3" fillId="0" borderId="17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164" fontId="7" fillId="0" borderId="26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165" fontId="8" fillId="0" borderId="6" xfId="0" applyNumberFormat="1" applyFont="1" applyFill="1" applyBorder="1" applyAlignment="1">
      <alignment horizontal="center" vertical="center" wrapText="1"/>
    </xf>
    <xf numFmtId="166" fontId="8" fillId="4" borderId="6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justify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center" vertical="center" wrapText="1"/>
    </xf>
    <xf numFmtId="165" fontId="8" fillId="0" borderId="10" xfId="0" applyNumberFormat="1" applyFont="1" applyFill="1" applyBorder="1" applyAlignment="1">
      <alignment horizontal="center" vertical="center" wrapText="1"/>
    </xf>
    <xf numFmtId="166" fontId="8" fillId="4" borderId="10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justify" vertical="center" wrapText="1"/>
    </xf>
    <xf numFmtId="166" fontId="8" fillId="4" borderId="10" xfId="0" applyNumberFormat="1" applyFont="1" applyFill="1" applyBorder="1" applyAlignment="1">
      <alignment horizontal="justify" vertical="center" wrapText="1"/>
    </xf>
    <xf numFmtId="0" fontId="8" fillId="0" borderId="10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center" vertical="center" wrapText="1"/>
    </xf>
    <xf numFmtId="165" fontId="8" fillId="0" borderId="16" xfId="0" applyNumberFormat="1" applyFont="1" applyFill="1" applyBorder="1" applyAlignment="1">
      <alignment horizontal="center" vertical="center" wrapText="1"/>
    </xf>
    <xf numFmtId="166" fontId="8" fillId="4" borderId="16" xfId="0" applyNumberFormat="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vertical="center" wrapText="1"/>
    </xf>
    <xf numFmtId="0" fontId="10" fillId="5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166" fontId="0" fillId="0" borderId="10" xfId="0" applyNumberForma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24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11" fillId="0" borderId="36" xfId="0" applyNumberFormat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37" xfId="0" applyNumberFormat="1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4" xfId="0" applyNumberFormat="1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/>
    </xf>
    <xf numFmtId="0" fontId="11" fillId="7" borderId="37" xfId="0" applyNumberFormat="1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7" borderId="36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2" borderId="36" xfId="0" applyNumberFormat="1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7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19" xfId="0" applyNumberFormat="1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1" fillId="9" borderId="19" xfId="0" applyNumberFormat="1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3" xfId="0" applyNumberFormat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11" fillId="11" borderId="36" xfId="0" applyNumberFormat="1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38" xfId="0" applyNumberFormat="1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/>
    </xf>
    <xf numFmtId="0" fontId="11" fillId="12" borderId="39" xfId="0" applyNumberFormat="1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13" borderId="19" xfId="0" applyNumberFormat="1" applyFont="1" applyFill="1" applyBorder="1" applyAlignment="1">
      <alignment horizontal="center" vertical="center"/>
    </xf>
    <xf numFmtId="0" fontId="4" fillId="13" borderId="19" xfId="0" applyFont="1" applyFill="1" applyBorder="1" applyAlignment="1">
      <alignment horizontal="center" vertical="center"/>
    </xf>
    <xf numFmtId="0" fontId="11" fillId="13" borderId="35" xfId="0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11" fillId="11" borderId="24" xfId="0" applyNumberFormat="1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11" fillId="7" borderId="39" xfId="0" applyFont="1" applyFill="1" applyBorder="1" applyAlignment="1">
      <alignment horizontal="center" vertical="center"/>
    </xf>
    <xf numFmtId="0" fontId="11" fillId="7" borderId="39" xfId="0" applyNumberFormat="1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42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9" fillId="15" borderId="6" xfId="0" applyFont="1" applyFill="1" applyBorder="1" applyAlignment="1">
      <alignment vertical="center"/>
    </xf>
    <xf numFmtId="0" fontId="9" fillId="15" borderId="7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9" fillId="15" borderId="10" xfId="0" applyFont="1" applyFill="1" applyBorder="1" applyAlignment="1">
      <alignment vertical="center"/>
    </xf>
    <xf numFmtId="0" fontId="9" fillId="15" borderId="11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9" fillId="15" borderId="16" xfId="0" applyFont="1" applyFill="1" applyBorder="1" applyAlignment="1">
      <alignment vertical="center"/>
    </xf>
    <xf numFmtId="0" fontId="9" fillId="15" borderId="17" xfId="0" applyFont="1" applyFill="1" applyBorder="1" applyAlignment="1">
      <alignment vertical="center"/>
    </xf>
    <xf numFmtId="0" fontId="0" fillId="0" borderId="0" xfId="0" applyAlignment="1"/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6" fillId="17" borderId="43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/>
    </xf>
    <xf numFmtId="0" fontId="6" fillId="17" borderId="44" xfId="0" applyFont="1" applyFill="1" applyBorder="1" applyAlignment="1">
      <alignment horizontal="center" vertical="center" wrapText="1"/>
    </xf>
    <xf numFmtId="0" fontId="6" fillId="17" borderId="45" xfId="0" applyFont="1" applyFill="1" applyBorder="1" applyAlignment="1">
      <alignment horizontal="center" vertical="center" wrapText="1"/>
    </xf>
    <xf numFmtId="0" fontId="9" fillId="18" borderId="5" xfId="0" applyFont="1" applyFill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18" borderId="9" xfId="0" applyFont="1" applyFill="1" applyBorder="1">
      <alignment vertical="center"/>
    </xf>
    <xf numFmtId="0" fontId="9" fillId="0" borderId="10" xfId="0" applyFont="1" applyBorder="1" applyAlignment="1">
      <alignment horizontal="center" vertical="center" wrapText="1"/>
    </xf>
    <xf numFmtId="0" fontId="10" fillId="19" borderId="10" xfId="0" applyFont="1" applyFill="1" applyBorder="1">
      <alignment vertical="center"/>
    </xf>
    <xf numFmtId="0" fontId="9" fillId="19" borderId="10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2" fontId="9" fillId="0" borderId="10" xfId="0" applyNumberFormat="1" applyFont="1" applyBorder="1" applyAlignment="1">
      <alignment horizontal="left" vertical="center"/>
    </xf>
    <xf numFmtId="0" fontId="1" fillId="0" borderId="10" xfId="1" applyFont="1" applyBorder="1">
      <alignment vertical="center"/>
    </xf>
    <xf numFmtId="0" fontId="9" fillId="0" borderId="11" xfId="0" quotePrefix="1" applyFont="1" applyBorder="1" applyAlignment="1">
      <alignment horizontal="left" vertical="center"/>
    </xf>
    <xf numFmtId="0" fontId="9" fillId="0" borderId="11" xfId="0" quotePrefix="1" applyFont="1" applyBorder="1" applyAlignment="1">
      <alignment horizontal="left" vertical="center" wrapText="1"/>
    </xf>
    <xf numFmtId="0" fontId="9" fillId="0" borderId="10" xfId="0" quotePrefix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2" fillId="0" borderId="0" xfId="0" applyFont="1" applyAlignment="1"/>
    <xf numFmtId="0" fontId="9" fillId="23" borderId="6" xfId="0" applyFont="1" applyFill="1" applyBorder="1" applyAlignment="1">
      <alignment vertical="center"/>
    </xf>
    <xf numFmtId="0" fontId="9" fillId="23" borderId="10" xfId="0" applyFont="1" applyFill="1" applyBorder="1" applyAlignment="1">
      <alignment vertical="center"/>
    </xf>
    <xf numFmtId="0" fontId="9" fillId="23" borderId="16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20" borderId="35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/>
    </xf>
    <xf numFmtId="0" fontId="3" fillId="20" borderId="44" xfId="0" applyFont="1" applyFill="1" applyBorder="1" applyAlignment="1">
      <alignment horizontal="center" vertical="center"/>
    </xf>
    <xf numFmtId="0" fontId="3" fillId="20" borderId="45" xfId="0" applyFont="1" applyFill="1" applyBorder="1" applyAlignment="1">
      <alignment horizontal="center" vertical="center"/>
    </xf>
    <xf numFmtId="0" fontId="3" fillId="20" borderId="35" xfId="0" applyFont="1" applyFill="1" applyBorder="1" applyAlignment="1">
      <alignment horizontal="left" vertical="center" wrapText="1"/>
    </xf>
    <xf numFmtId="0" fontId="3" fillId="20" borderId="35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24" borderId="19" xfId="0" applyFont="1" applyFill="1" applyBorder="1" applyAlignment="1">
      <alignment horizontal="center" vertical="center"/>
    </xf>
    <xf numFmtId="0" fontId="11" fillId="24" borderId="19" xfId="0" applyNumberFormat="1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11" fillId="24" borderId="35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11" fillId="22" borderId="19" xfId="0" applyFont="1" applyFill="1" applyBorder="1" applyAlignment="1">
      <alignment horizontal="center" vertical="center"/>
    </xf>
    <xf numFmtId="0" fontId="11" fillId="22" borderId="19" xfId="0" applyNumberFormat="1" applyFont="1" applyFill="1" applyBorder="1" applyAlignment="1">
      <alignment horizontal="center" vertical="center"/>
    </xf>
    <xf numFmtId="0" fontId="4" fillId="22" borderId="19" xfId="0" applyFont="1" applyFill="1" applyBorder="1" applyAlignment="1">
      <alignment horizontal="center" vertical="center"/>
    </xf>
    <xf numFmtId="0" fontId="11" fillId="22" borderId="35" xfId="0" applyFont="1" applyFill="1" applyBorder="1" applyAlignment="1">
      <alignment horizontal="center" vertical="center"/>
    </xf>
    <xf numFmtId="0" fontId="10" fillId="22" borderId="21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8" xfId="0" applyNumberFormat="1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39" xfId="0" applyNumberFormat="1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11" fillId="20" borderId="19" xfId="0" applyFont="1" applyFill="1" applyBorder="1" applyAlignment="1">
      <alignment horizontal="center" vertical="center"/>
    </xf>
    <xf numFmtId="0" fontId="11" fillId="20" borderId="19" xfId="0" applyNumberFormat="1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1" fillId="20" borderId="35" xfId="0" applyFont="1" applyFill="1" applyBorder="1" applyAlignment="1">
      <alignment horizontal="center" vertical="center"/>
    </xf>
    <xf numFmtId="0" fontId="10" fillId="20" borderId="21" xfId="0" applyFont="1" applyFill="1" applyBorder="1" applyAlignment="1">
      <alignment horizontal="center" vertical="center"/>
    </xf>
    <xf numFmtId="0" fontId="11" fillId="22" borderId="38" xfId="0" applyFont="1" applyFill="1" applyBorder="1" applyAlignment="1">
      <alignment horizontal="center" vertical="center"/>
    </xf>
    <xf numFmtId="0" fontId="11" fillId="22" borderId="38" xfId="0" applyNumberFormat="1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10" fillId="22" borderId="7" xfId="0" applyFont="1" applyFill="1" applyBorder="1" applyAlignment="1">
      <alignment horizontal="center" vertical="center"/>
    </xf>
    <xf numFmtId="0" fontId="11" fillId="22" borderId="36" xfId="0" applyFont="1" applyFill="1" applyBorder="1" applyAlignment="1">
      <alignment horizontal="center" vertical="center"/>
    </xf>
    <xf numFmtId="0" fontId="11" fillId="22" borderId="36" xfId="0" applyNumberFormat="1" applyFont="1" applyFill="1" applyBorder="1" applyAlignment="1">
      <alignment horizontal="center" vertical="center"/>
    </xf>
    <xf numFmtId="0" fontId="4" fillId="22" borderId="36" xfId="0" applyFont="1" applyFill="1" applyBorder="1" applyAlignment="1">
      <alignment horizontal="center" vertical="center"/>
    </xf>
    <xf numFmtId="0" fontId="11" fillId="22" borderId="12" xfId="0" applyFont="1" applyFill="1" applyBorder="1" applyAlignment="1">
      <alignment horizontal="center" vertical="center"/>
    </xf>
    <xf numFmtId="0" fontId="10" fillId="22" borderId="42" xfId="0" applyFont="1" applyFill="1" applyBorder="1" applyAlignment="1">
      <alignment horizontal="center" vertical="center"/>
    </xf>
    <xf numFmtId="0" fontId="10" fillId="22" borderId="11" xfId="0" applyFont="1" applyFill="1" applyBorder="1" applyAlignment="1">
      <alignment horizontal="center" vertical="center"/>
    </xf>
    <xf numFmtId="0" fontId="11" fillId="22" borderId="39" xfId="0" applyFont="1" applyFill="1" applyBorder="1" applyAlignment="1">
      <alignment horizontal="center" vertical="center"/>
    </xf>
    <xf numFmtId="0" fontId="11" fillId="22" borderId="39" xfId="0" applyNumberFormat="1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11" fillId="22" borderId="18" xfId="0" applyFont="1" applyFill="1" applyBorder="1" applyAlignment="1">
      <alignment horizontal="center" vertical="center"/>
    </xf>
    <xf numFmtId="0" fontId="10" fillId="22" borderId="41" xfId="0" applyFont="1" applyFill="1" applyBorder="1" applyAlignment="1">
      <alignment horizontal="center" vertical="center"/>
    </xf>
    <xf numFmtId="0" fontId="11" fillId="10" borderId="38" xfId="0" applyFont="1" applyFill="1" applyBorder="1" applyAlignment="1">
      <alignment horizontal="center" vertical="center"/>
    </xf>
    <xf numFmtId="0" fontId="11" fillId="10" borderId="38" xfId="0" applyNumberFormat="1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11" fillId="10" borderId="36" xfId="0" applyFont="1" applyFill="1" applyBorder="1" applyAlignment="1">
      <alignment horizontal="center" vertical="center"/>
    </xf>
    <xf numFmtId="0" fontId="11" fillId="10" borderId="36" xfId="0" applyNumberFormat="1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11" fillId="10" borderId="39" xfId="0" applyFont="1" applyFill="1" applyBorder="1" applyAlignment="1">
      <alignment horizontal="center" vertical="center"/>
    </xf>
    <xf numFmtId="0" fontId="11" fillId="10" borderId="39" xfId="0" applyNumberFormat="1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1" fillId="21" borderId="38" xfId="0" applyFont="1" applyFill="1" applyBorder="1" applyAlignment="1">
      <alignment horizontal="center" vertical="center"/>
    </xf>
    <xf numFmtId="0" fontId="11" fillId="21" borderId="38" xfId="0" applyNumberFormat="1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1" fillId="21" borderId="8" xfId="0" applyFont="1" applyFill="1" applyBorder="1" applyAlignment="1">
      <alignment horizontal="center" vertical="center"/>
    </xf>
    <xf numFmtId="0" fontId="11" fillId="21" borderId="39" xfId="0" applyFont="1" applyFill="1" applyBorder="1" applyAlignment="1">
      <alignment horizontal="center" vertical="center"/>
    </xf>
    <xf numFmtId="0" fontId="11" fillId="21" borderId="39" xfId="0" applyNumberFormat="1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1" fillId="21" borderId="18" xfId="0" applyFont="1" applyFill="1" applyBorder="1" applyAlignment="1">
      <alignment horizontal="center" vertical="center"/>
    </xf>
    <xf numFmtId="0" fontId="11" fillId="24" borderId="38" xfId="0" applyFont="1" applyFill="1" applyBorder="1" applyAlignment="1">
      <alignment horizontal="center" vertical="center"/>
    </xf>
    <xf numFmtId="0" fontId="11" fillId="24" borderId="38" xfId="0" applyNumberFormat="1" applyFont="1" applyFill="1" applyBorder="1" applyAlignment="1">
      <alignment horizontal="center" vertical="center"/>
    </xf>
    <xf numFmtId="0" fontId="4" fillId="24" borderId="38" xfId="0" applyFont="1" applyFill="1" applyBorder="1" applyAlignment="1">
      <alignment horizontal="center" vertical="center"/>
    </xf>
    <xf numFmtId="0" fontId="11" fillId="24" borderId="8" xfId="0" applyFont="1" applyFill="1" applyBorder="1" applyAlignment="1">
      <alignment horizontal="center" vertical="center"/>
    </xf>
    <xf numFmtId="0" fontId="11" fillId="24" borderId="36" xfId="0" applyFont="1" applyFill="1" applyBorder="1" applyAlignment="1">
      <alignment horizontal="center" vertical="center"/>
    </xf>
    <xf numFmtId="0" fontId="11" fillId="24" borderId="36" xfId="0" applyNumberFormat="1" applyFont="1" applyFill="1" applyBorder="1" applyAlignment="1">
      <alignment horizontal="center" vertical="center"/>
    </xf>
    <xf numFmtId="0" fontId="4" fillId="24" borderId="36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1" fillId="24" borderId="39" xfId="0" applyFont="1" applyFill="1" applyBorder="1" applyAlignment="1">
      <alignment horizontal="center" vertical="center"/>
    </xf>
    <xf numFmtId="0" fontId="11" fillId="24" borderId="39" xfId="0" applyNumberFormat="1" applyFont="1" applyFill="1" applyBorder="1" applyAlignment="1">
      <alignment horizontal="center" vertical="center"/>
    </xf>
    <xf numFmtId="0" fontId="4" fillId="24" borderId="39" xfId="0" applyFont="1" applyFill="1" applyBorder="1" applyAlignment="1">
      <alignment horizontal="center" vertical="center"/>
    </xf>
    <xf numFmtId="0" fontId="11" fillId="24" borderId="18" xfId="0" applyFont="1" applyFill="1" applyBorder="1" applyAlignment="1">
      <alignment horizontal="center" vertical="center"/>
    </xf>
    <xf numFmtId="0" fontId="11" fillId="22" borderId="5" xfId="0" applyFont="1" applyFill="1" applyBorder="1" applyAlignment="1">
      <alignment horizontal="center" vertical="center"/>
    </xf>
    <xf numFmtId="0" fontId="11" fillId="22" borderId="6" xfId="0" applyNumberFormat="1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 vertical="center"/>
    </xf>
    <xf numFmtId="0" fontId="11" fillId="22" borderId="6" xfId="0" applyFont="1" applyFill="1" applyBorder="1" applyAlignment="1">
      <alignment horizontal="center" vertical="center"/>
    </xf>
    <xf numFmtId="0" fontId="11" fillId="22" borderId="9" xfId="0" applyFont="1" applyFill="1" applyBorder="1" applyAlignment="1">
      <alignment horizontal="center" vertical="center"/>
    </xf>
    <xf numFmtId="0" fontId="11" fillId="22" borderId="10" xfId="0" applyNumberFormat="1" applyFont="1" applyFill="1" applyBorder="1" applyAlignment="1">
      <alignment horizontal="center" vertical="center"/>
    </xf>
    <xf numFmtId="0" fontId="4" fillId="22" borderId="10" xfId="0" applyFont="1" applyFill="1" applyBorder="1" applyAlignment="1">
      <alignment horizontal="center" vertical="center"/>
    </xf>
    <xf numFmtId="0" fontId="11" fillId="22" borderId="10" xfId="0" applyFont="1" applyFill="1" applyBorder="1" applyAlignment="1">
      <alignment horizontal="center" vertical="center"/>
    </xf>
    <xf numFmtId="0" fontId="11" fillId="22" borderId="15" xfId="0" applyFont="1" applyFill="1" applyBorder="1" applyAlignment="1">
      <alignment horizontal="center" vertical="center"/>
    </xf>
    <xf numFmtId="0" fontId="11" fillId="22" borderId="16" xfId="0" applyNumberFormat="1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/>
    </xf>
    <xf numFmtId="0" fontId="11" fillId="22" borderId="16" xfId="0" applyFont="1" applyFill="1" applyBorder="1" applyAlignment="1">
      <alignment horizontal="center" vertical="center"/>
    </xf>
    <xf numFmtId="0" fontId="10" fillId="22" borderId="1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18" borderId="6" xfId="0" applyFont="1" applyFill="1" applyBorder="1" applyAlignment="1">
      <alignment horizontal="left" vertical="center"/>
    </xf>
    <xf numFmtId="0" fontId="10" fillId="18" borderId="7" xfId="0" applyFont="1" applyFill="1" applyBorder="1" applyAlignment="1">
      <alignment horizontal="left" vertical="center"/>
    </xf>
    <xf numFmtId="0" fontId="10" fillId="18" borderId="10" xfId="0" applyFont="1" applyFill="1" applyBorder="1" applyAlignment="1">
      <alignment horizontal="left" vertical="center"/>
    </xf>
    <xf numFmtId="0" fontId="10" fillId="18" borderId="11" xfId="0" applyFont="1" applyFill="1" applyBorder="1" applyAlignment="1">
      <alignment horizontal="left" vertical="center"/>
    </xf>
    <xf numFmtId="0" fontId="13" fillId="16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1" xfId="0" applyBorder="1" applyAlignment="1">
      <alignment horizontal="center"/>
    </xf>
    <xf numFmtId="0" fontId="10" fillId="14" borderId="19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9" fillId="14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/>
    </xf>
    <xf numFmtId="0" fontId="4" fillId="0" borderId="48" xfId="0" applyFont="1" applyFill="1" applyBorder="1" applyAlignment="1">
      <alignment horizontal="left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/>
    </xf>
    <xf numFmtId="0" fontId="10" fillId="21" borderId="41" xfId="0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center" vertical="center"/>
    </xf>
    <xf numFmtId="0" fontId="10" fillId="24" borderId="42" xfId="0" applyFont="1" applyFill="1" applyBorder="1" applyAlignment="1">
      <alignment horizontal="center" vertical="center"/>
    </xf>
    <xf numFmtId="0" fontId="10" fillId="24" borderId="41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41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6" fillId="17" borderId="23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left" vertical="center" wrapText="1"/>
    </xf>
    <xf numFmtId="0" fontId="7" fillId="0" borderId="29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2" fillId="20" borderId="19" xfId="0" applyFont="1" applyFill="1" applyBorder="1" applyAlignment="1">
      <alignment horizontal="center" vertical="center"/>
    </xf>
    <xf numFmtId="0" fontId="2" fillId="20" borderId="20" xfId="0" applyFont="1" applyFill="1" applyBorder="1" applyAlignment="1">
      <alignment horizontal="center" vertical="center"/>
    </xf>
    <xf numFmtId="0" fontId="2" fillId="20" borderId="2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7" xfId="2" xr:uid="{00000000-0005-0000-0000-000031000000}"/>
  </cellStyles>
  <dxfs count="20">
    <dxf>
      <fill>
        <patternFill patternType="solid">
          <bgColor theme="3" tint="0.399975585192419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3" tint="0.399975585192419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3" tint="0.399975585192419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theme="3" tint="0.3999755851924192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E34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0"/>
  <sheetViews>
    <sheetView zoomScale="85" zoomScaleNormal="85" workbookViewId="0"/>
  </sheetViews>
  <sheetFormatPr defaultColWidth="8.875" defaultRowHeight="14.45"/>
  <cols>
    <col min="2" max="2" width="12.875" customWidth="1"/>
    <col min="3" max="3" width="39.75" customWidth="1"/>
    <col min="4" max="4" width="12.375" customWidth="1"/>
  </cols>
  <sheetData>
    <row r="2" spans="2:4">
      <c r="B2" s="233" t="s">
        <v>0</v>
      </c>
      <c r="C2" s="223" t="s">
        <v>1</v>
      </c>
      <c r="D2" s="223"/>
    </row>
    <row r="3" spans="2:4">
      <c r="B3" s="233" t="s">
        <v>2</v>
      </c>
      <c r="C3" s="223" t="s">
        <v>3</v>
      </c>
      <c r="D3" s="223"/>
    </row>
    <row r="4" spans="2:4">
      <c r="B4" s="233" t="s">
        <v>4</v>
      </c>
      <c r="C4" s="224">
        <v>1</v>
      </c>
      <c r="D4" s="223"/>
    </row>
    <row r="5" spans="2:4">
      <c r="B5" s="233" t="s">
        <v>5</v>
      </c>
      <c r="C5" s="223"/>
      <c r="D5" s="223"/>
    </row>
    <row r="7" spans="2:4">
      <c r="B7" s="234" t="s">
        <v>6</v>
      </c>
      <c r="C7" s="234" t="s">
        <v>7</v>
      </c>
      <c r="D7" s="234" t="s">
        <v>8</v>
      </c>
    </row>
    <row r="8" spans="2:4">
      <c r="B8" s="58">
        <v>1</v>
      </c>
      <c r="C8" s="225" t="s">
        <v>9</v>
      </c>
      <c r="D8" s="59"/>
    </row>
    <row r="9" spans="2:4">
      <c r="B9" s="58">
        <v>2</v>
      </c>
      <c r="C9" s="225" t="s">
        <v>10</v>
      </c>
      <c r="D9" s="59"/>
    </row>
    <row r="10" spans="2:4">
      <c r="B10" s="58">
        <v>3</v>
      </c>
      <c r="C10" s="225" t="s">
        <v>11</v>
      </c>
      <c r="D10" s="59"/>
    </row>
    <row r="11" spans="2:4">
      <c r="B11" s="58">
        <v>4</v>
      </c>
      <c r="C11" s="225" t="s">
        <v>12</v>
      </c>
      <c r="D11" s="59"/>
    </row>
    <row r="12" spans="2:4">
      <c r="B12" s="58">
        <v>5</v>
      </c>
      <c r="C12" s="225" t="s">
        <v>13</v>
      </c>
      <c r="D12" s="59"/>
    </row>
    <row r="13" spans="2:4">
      <c r="B13" s="58">
        <v>6</v>
      </c>
      <c r="C13" s="225" t="s">
        <v>14</v>
      </c>
      <c r="D13" s="59"/>
    </row>
    <row r="14" spans="2:4">
      <c r="B14" s="58">
        <v>7</v>
      </c>
      <c r="C14" s="225" t="s">
        <v>15</v>
      </c>
      <c r="D14" s="59"/>
    </row>
    <row r="15" spans="2:4">
      <c r="B15" s="58">
        <v>8</v>
      </c>
      <c r="C15" s="225" t="s">
        <v>16</v>
      </c>
      <c r="D15" s="59"/>
    </row>
    <row r="16" spans="2:4">
      <c r="B16" s="58">
        <v>9</v>
      </c>
      <c r="C16" s="225" t="s">
        <v>17</v>
      </c>
      <c r="D16" s="59"/>
    </row>
    <row r="17" spans="2:4">
      <c r="B17" s="58">
        <v>10</v>
      </c>
      <c r="C17" s="225" t="s">
        <v>18</v>
      </c>
      <c r="D17" s="59"/>
    </row>
    <row r="18" spans="2:4">
      <c r="B18" s="58">
        <v>11</v>
      </c>
      <c r="C18" s="225" t="s">
        <v>19</v>
      </c>
      <c r="D18" s="59"/>
    </row>
    <row r="19" spans="2:4">
      <c r="B19" s="58"/>
      <c r="C19" s="59"/>
      <c r="D19" s="59"/>
    </row>
    <row r="20" spans="2:4">
      <c r="B20" s="58"/>
      <c r="C20" s="59"/>
      <c r="D20" s="59"/>
    </row>
  </sheetData>
  <hyperlinks>
    <hyperlink ref="C8" location="'Key-Specs'!A1" display="Key-Specs" xr:uid="{00000000-0004-0000-0000-000000000000}"/>
    <hyperlink ref="C9" location="'Block Diagram'!A1" display="Block Diagram" xr:uid="{00000000-0004-0000-0000-000001000000}"/>
    <hyperlink ref="C10" location="'MCU Options'!A1" display="MCU Options" xr:uid="{00000000-0004-0000-0000-000002000000}"/>
    <hyperlink ref="C11" location="'AAF Filter Options'!A1" display="AAF Filter Options " xr:uid="{00000000-0004-0000-0000-000003000000}"/>
    <hyperlink ref="C12" location="BOM!A1" display="BOM" xr:uid="{00000000-0004-0000-0000-000004000000}"/>
    <hyperlink ref="C13" location="'Power Calculation'!A1" display="Power Calculation " xr:uid="{00000000-0004-0000-0000-000005000000}"/>
    <hyperlink ref="C14" location="'Pin Mapping'!A1" display="Pin Mapping" xr:uid="{00000000-0004-0000-0000-000006000000}"/>
    <hyperlink ref="C15" location="Status!A1" display="Status" xr:uid="{00000000-0004-0000-0000-000007000000}"/>
    <hyperlink ref="C16" location="'Order Status'!A1" display="Order Status" xr:uid="{00000000-0004-0000-0000-000008000000}"/>
    <hyperlink ref="C17" location="'Open-Points'!A1" display="Open-Points" xr:uid="{00000000-0004-0000-0000-000009000000}"/>
    <hyperlink ref="C18" location="Connector!A1" display="Connector Details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2"/>
  <sheetViews>
    <sheetView workbookViewId="0">
      <pane ySplit="2" topLeftCell="A3" activePane="bottomLeft" state="frozen"/>
      <selection pane="bottomLeft"/>
    </sheetView>
  </sheetViews>
  <sheetFormatPr defaultColWidth="8.875" defaultRowHeight="14.45"/>
  <cols>
    <col min="1" max="1" width="7.125" style="199" customWidth="1"/>
    <col min="2" max="2" width="11.625" style="198" customWidth="1"/>
    <col min="3" max="3" width="37.25" style="199" customWidth="1"/>
    <col min="4" max="4" width="14.75" style="198" customWidth="1"/>
    <col min="5" max="5" width="58.625" style="200" customWidth="1"/>
    <col min="6" max="16379" width="8.875" style="199"/>
  </cols>
  <sheetData>
    <row r="1" spans="1:5" ht="18.95" customHeight="1">
      <c r="A1" s="235" t="s">
        <v>20</v>
      </c>
    </row>
    <row r="2" spans="1:5" s="198" customFormat="1" ht="24.95" customHeight="1">
      <c r="B2" s="201" t="s">
        <v>21</v>
      </c>
      <c r="C2" s="202" t="s">
        <v>22</v>
      </c>
      <c r="D2" s="203" t="s">
        <v>23</v>
      </c>
      <c r="E2" s="204" t="s">
        <v>8</v>
      </c>
    </row>
    <row r="3" spans="1:5" ht="21.95" customHeight="1">
      <c r="B3" s="205"/>
      <c r="C3" s="339" t="s">
        <v>24</v>
      </c>
      <c r="D3" s="339"/>
      <c r="E3" s="340"/>
    </row>
    <row r="4" spans="1:5">
      <c r="B4" s="206">
        <v>1</v>
      </c>
      <c r="C4" s="207" t="s">
        <v>25</v>
      </c>
      <c r="D4" s="208" t="s">
        <v>26</v>
      </c>
      <c r="E4" s="209" t="s">
        <v>27</v>
      </c>
    </row>
    <row r="5" spans="1:5">
      <c r="B5" s="206">
        <v>2</v>
      </c>
      <c r="C5" s="207" t="s">
        <v>28</v>
      </c>
      <c r="D5" s="208" t="s">
        <v>26</v>
      </c>
      <c r="E5" s="209" t="s">
        <v>29</v>
      </c>
    </row>
    <row r="6" spans="1:5">
      <c r="B6" s="206">
        <v>3</v>
      </c>
      <c r="C6" s="207" t="s">
        <v>30</v>
      </c>
      <c r="D6" s="208" t="s">
        <v>26</v>
      </c>
      <c r="E6" s="209" t="s">
        <v>31</v>
      </c>
    </row>
    <row r="7" spans="1:5">
      <c r="B7" s="206">
        <v>4</v>
      </c>
      <c r="C7" s="207" t="s">
        <v>32</v>
      </c>
      <c r="D7" s="208" t="s">
        <v>26</v>
      </c>
      <c r="E7" s="209" t="s">
        <v>33</v>
      </c>
    </row>
    <row r="8" spans="1:5">
      <c r="B8" s="206">
        <v>5</v>
      </c>
      <c r="C8" s="207" t="s">
        <v>34</v>
      </c>
      <c r="D8" s="208" t="s">
        <v>26</v>
      </c>
      <c r="E8" s="209" t="s">
        <v>35</v>
      </c>
    </row>
    <row r="9" spans="1:5">
      <c r="B9" s="206"/>
      <c r="C9" s="207"/>
      <c r="D9" s="208"/>
      <c r="E9" s="209"/>
    </row>
    <row r="10" spans="1:5" ht="27" customHeight="1">
      <c r="B10" s="210"/>
      <c r="C10" s="341" t="s">
        <v>36</v>
      </c>
      <c r="D10" s="341"/>
      <c r="E10" s="342"/>
    </row>
    <row r="11" spans="1:5">
      <c r="B11" s="206">
        <v>1</v>
      </c>
      <c r="C11" s="207" t="s">
        <v>37</v>
      </c>
      <c r="D11" s="211">
        <v>1</v>
      </c>
      <c r="E11" s="209" t="s">
        <v>38</v>
      </c>
    </row>
    <row r="12" spans="1:5">
      <c r="B12" s="206">
        <v>2</v>
      </c>
      <c r="C12" s="207" t="s">
        <v>39</v>
      </c>
      <c r="D12" s="211">
        <v>1</v>
      </c>
      <c r="E12" s="209" t="s">
        <v>40</v>
      </c>
    </row>
    <row r="13" spans="1:5">
      <c r="B13" s="206"/>
      <c r="C13" s="207"/>
      <c r="D13" s="208"/>
      <c r="E13" s="209"/>
    </row>
    <row r="14" spans="1:5">
      <c r="B14" s="206"/>
      <c r="C14" s="207"/>
      <c r="D14" s="208"/>
      <c r="E14" s="209"/>
    </row>
    <row r="15" spans="1:5">
      <c r="B15" s="210"/>
      <c r="C15" s="341" t="s">
        <v>41</v>
      </c>
      <c r="D15" s="341"/>
      <c r="E15" s="342"/>
    </row>
    <row r="16" spans="1:5">
      <c r="B16" s="206">
        <v>1</v>
      </c>
      <c r="C16" s="207" t="s">
        <v>42</v>
      </c>
      <c r="D16" s="208">
        <v>1</v>
      </c>
      <c r="E16" s="226" t="s">
        <v>43</v>
      </c>
    </row>
    <row r="17" spans="2:5 16380:16384">
      <c r="B17" s="206">
        <v>2</v>
      </c>
      <c r="C17" s="207" t="s">
        <v>44</v>
      </c>
      <c r="D17" s="208">
        <v>1</v>
      </c>
      <c r="E17" s="226" t="s">
        <v>45</v>
      </c>
    </row>
    <row r="18" spans="2:5 16380:16384">
      <c r="B18" s="206">
        <v>3</v>
      </c>
      <c r="C18" s="207" t="s">
        <v>46</v>
      </c>
      <c r="D18" s="208">
        <v>1</v>
      </c>
      <c r="E18" s="226" t="s">
        <v>47</v>
      </c>
    </row>
    <row r="19" spans="2:5 16380:16384">
      <c r="B19" s="206"/>
      <c r="C19" s="207"/>
      <c r="D19" s="208"/>
      <c r="E19" s="209"/>
    </row>
    <row r="20" spans="2:5 16380:16384">
      <c r="B20" s="210"/>
      <c r="C20" s="341" t="s">
        <v>48</v>
      </c>
      <c r="D20" s="341"/>
      <c r="E20" s="342"/>
    </row>
    <row r="21" spans="2:5 16380:16384">
      <c r="B21" s="206">
        <v>1</v>
      </c>
      <c r="C21" t="s">
        <v>49</v>
      </c>
      <c r="D21" s="208">
        <v>1</v>
      </c>
      <c r="E21" s="209" t="s">
        <v>50</v>
      </c>
    </row>
    <row r="22" spans="2:5 16380:16384">
      <c r="B22" s="206">
        <v>2</v>
      </c>
      <c r="C22" s="207" t="s">
        <v>51</v>
      </c>
      <c r="D22" s="208">
        <v>1</v>
      </c>
      <c r="E22" s="209" t="s">
        <v>52</v>
      </c>
    </row>
    <row r="23" spans="2:5 16380:16384">
      <c r="B23" s="206">
        <v>3</v>
      </c>
      <c r="C23" s="207" t="s">
        <v>53</v>
      </c>
      <c r="D23" s="208">
        <v>1</v>
      </c>
      <c r="E23" s="209" t="s">
        <v>54</v>
      </c>
    </row>
    <row r="24" spans="2:5 16380:16384">
      <c r="B24" s="206"/>
      <c r="C24" s="207"/>
      <c r="D24" s="208"/>
      <c r="E24" s="209"/>
    </row>
    <row r="25" spans="2:5 16380:16384">
      <c r="B25" s="210"/>
      <c r="C25" s="341" t="s">
        <v>55</v>
      </c>
      <c r="D25" s="341"/>
      <c r="E25" s="342"/>
    </row>
    <row r="26" spans="2:5 16380:16384">
      <c r="B26" s="206">
        <v>1</v>
      </c>
      <c r="C26" s="207" t="s">
        <v>56</v>
      </c>
      <c r="D26" s="208">
        <v>1</v>
      </c>
      <c r="E26" s="209" t="s">
        <v>57</v>
      </c>
    </row>
    <row r="27" spans="2:5 16380:16384">
      <c r="B27" s="206"/>
      <c r="C27" s="207"/>
      <c r="D27" s="208"/>
      <c r="E27" s="209"/>
    </row>
    <row r="28" spans="2:5 16380:16384" s="199" customFormat="1">
      <c r="B28" s="210"/>
      <c r="C28" s="212" t="s">
        <v>58</v>
      </c>
      <c r="D28" s="213"/>
      <c r="E28" s="214"/>
      <c r="XEZ28"/>
      <c r="XFA28"/>
      <c r="XFB28"/>
      <c r="XFC28"/>
      <c r="XFD28"/>
    </row>
    <row r="29" spans="2:5 16380:16384" s="199" customFormat="1">
      <c r="B29" s="206">
        <v>1</v>
      </c>
      <c r="C29" s="207" t="s">
        <v>59</v>
      </c>
      <c r="D29" s="208"/>
      <c r="E29" s="209"/>
      <c r="XEZ29"/>
      <c r="XFA29"/>
      <c r="XFB29"/>
      <c r="XFC29"/>
      <c r="XFD29"/>
    </row>
    <row r="30" spans="2:5 16380:16384" ht="24.95">
      <c r="B30" s="206">
        <v>2</v>
      </c>
      <c r="C30" s="207" t="s">
        <v>60</v>
      </c>
      <c r="D30" s="208"/>
      <c r="E30" s="227" t="s">
        <v>61</v>
      </c>
    </row>
    <row r="31" spans="2:5 16380:16384">
      <c r="B31" s="206"/>
      <c r="C31" s="207"/>
      <c r="D31" s="208"/>
      <c r="E31" s="209"/>
    </row>
    <row r="32" spans="2:5 16380:16384">
      <c r="B32" s="210"/>
      <c r="C32" s="212" t="s">
        <v>62</v>
      </c>
      <c r="D32" s="213"/>
      <c r="E32" s="214"/>
    </row>
    <row r="33" spans="2:5">
      <c r="B33" s="206">
        <v>1</v>
      </c>
      <c r="C33" s="207" t="s">
        <v>63</v>
      </c>
      <c r="D33" s="228" t="s">
        <v>64</v>
      </c>
      <c r="E33" s="209"/>
    </row>
    <row r="34" spans="2:5">
      <c r="B34" s="206"/>
      <c r="C34" s="207"/>
      <c r="D34" s="208"/>
      <c r="E34" s="209"/>
    </row>
    <row r="35" spans="2:5">
      <c r="B35" s="210"/>
      <c r="C35" s="212" t="s">
        <v>65</v>
      </c>
      <c r="D35" s="213"/>
      <c r="E35" s="214"/>
    </row>
    <row r="36" spans="2:5">
      <c r="B36" s="206">
        <v>1</v>
      </c>
      <c r="C36" s="207" t="s">
        <v>66</v>
      </c>
      <c r="D36" s="228" t="s">
        <v>67</v>
      </c>
      <c r="E36" s="209"/>
    </row>
    <row r="37" spans="2:5">
      <c r="B37" s="206"/>
      <c r="C37" s="207"/>
      <c r="D37" s="208"/>
      <c r="E37" s="209"/>
    </row>
    <row r="38" spans="2:5" ht="21" customHeight="1">
      <c r="B38" s="210"/>
      <c r="C38" s="212" t="s">
        <v>68</v>
      </c>
      <c r="D38" s="213"/>
      <c r="E38" s="214"/>
    </row>
    <row r="39" spans="2:5">
      <c r="B39" s="215">
        <v>1</v>
      </c>
      <c r="C39" s="216" t="s">
        <v>69</v>
      </c>
      <c r="D39" s="217"/>
      <c r="E39" s="218" t="s">
        <v>70</v>
      </c>
    </row>
    <row r="40" spans="2:5">
      <c r="B40" s="206">
        <v>2</v>
      </c>
      <c r="C40" s="207" t="s">
        <v>71</v>
      </c>
      <c r="D40" s="208"/>
      <c r="E40" s="209" t="s">
        <v>72</v>
      </c>
    </row>
    <row r="41" spans="2:5">
      <c r="B41" s="206">
        <v>3</v>
      </c>
      <c r="C41" s="207" t="s">
        <v>73</v>
      </c>
      <c r="D41" s="208"/>
      <c r="E41" s="209" t="s">
        <v>74</v>
      </c>
    </row>
    <row r="42" spans="2:5" ht="15.2">
      <c r="B42" s="219"/>
      <c r="C42" s="220"/>
      <c r="D42" s="221"/>
      <c r="E42" s="222"/>
    </row>
  </sheetData>
  <mergeCells count="5">
    <mergeCell ref="C3:E3"/>
    <mergeCell ref="C10:E10"/>
    <mergeCell ref="C15:E15"/>
    <mergeCell ref="C20:E20"/>
    <mergeCell ref="C25:E25"/>
  </mergeCells>
  <hyperlinks>
    <hyperlink ref="A1" location="Index!A1" display="Back" xr:uid="{00000000-0004-0000-0100-000000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L45"/>
  <sheetViews>
    <sheetView zoomScale="50" zoomScaleNormal="50" workbookViewId="0">
      <pane ySplit="2" topLeftCell="A3" activePane="bottomLeft" state="frozen"/>
      <selection pane="bottomLeft"/>
    </sheetView>
  </sheetViews>
  <sheetFormatPr defaultColWidth="9" defaultRowHeight="14.45"/>
  <cols>
    <col min="1" max="1" width="8.375" style="197" customWidth="1"/>
    <col min="2" max="18" width="9" style="197"/>
    <col min="19" max="19" width="4.75" style="197" customWidth="1"/>
    <col min="20" max="16366" width="9" style="197"/>
  </cols>
  <sheetData>
    <row r="1" spans="1:39" ht="23.1" customHeight="1">
      <c r="A1" s="235" t="s">
        <v>20</v>
      </c>
    </row>
    <row r="2" spans="1:39" ht="38.450000000000003" customHeight="1">
      <c r="B2" s="343" t="s">
        <v>75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236"/>
      <c r="T2" s="343" t="s">
        <v>76</v>
      </c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</row>
    <row r="3" spans="1:39" ht="15.2"/>
    <row r="4" spans="1:39" ht="14.45" customHeight="1">
      <c r="B4" s="344" t="str">
        <f>_xlfn.DISPIMG("ID_884F7E67F2504571B2438E09B7549FD4",1)</f>
        <v>=DISPIMG("ID_884F7E67F2504571B2438E09B7549FD4",1)</v>
      </c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6"/>
      <c r="T4" s="344" t="str">
        <f>_xlfn.DISPIMG("ID_D4F5F0387FC24B8BA1A1742422A9333F",1)</f>
        <v>=DISPIMG("ID_D4F5F0387FC24B8BA1A1742422A9333F",1)</v>
      </c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6"/>
    </row>
    <row r="5" spans="1:39">
      <c r="B5" s="347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9"/>
      <c r="T5" s="347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8"/>
      <c r="AK5" s="348"/>
      <c r="AL5" s="348"/>
      <c r="AM5" s="349"/>
    </row>
    <row r="6" spans="1:39">
      <c r="B6" s="347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9"/>
      <c r="T6" s="347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8"/>
      <c r="AK6" s="348"/>
      <c r="AL6" s="348"/>
      <c r="AM6" s="349"/>
    </row>
    <row r="7" spans="1:39">
      <c r="B7" s="347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9"/>
      <c r="T7" s="347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8"/>
      <c r="AK7" s="348"/>
      <c r="AL7" s="348"/>
      <c r="AM7" s="349"/>
    </row>
    <row r="8" spans="1:39">
      <c r="B8" s="347"/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9"/>
      <c r="T8" s="347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8"/>
      <c r="AK8" s="348"/>
      <c r="AL8" s="348"/>
      <c r="AM8" s="349"/>
    </row>
    <row r="9" spans="1:39">
      <c r="B9" s="347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9"/>
      <c r="T9" s="347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8"/>
      <c r="AK9" s="348"/>
      <c r="AL9" s="348"/>
      <c r="AM9" s="349"/>
    </row>
    <row r="10" spans="1:39">
      <c r="B10" s="347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9"/>
      <c r="T10" s="347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9"/>
    </row>
    <row r="11" spans="1:39">
      <c r="B11" s="347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9"/>
      <c r="T11" s="347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8"/>
      <c r="AK11" s="348"/>
      <c r="AL11" s="348"/>
      <c r="AM11" s="349"/>
    </row>
    <row r="12" spans="1:39">
      <c r="B12" s="347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9"/>
      <c r="T12" s="347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8"/>
      <c r="AK12" s="348"/>
      <c r="AL12" s="348"/>
      <c r="AM12" s="349"/>
    </row>
    <row r="13" spans="1:39">
      <c r="B13" s="347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9"/>
      <c r="T13" s="347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9"/>
    </row>
    <row r="14" spans="1:39">
      <c r="B14" s="347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9"/>
      <c r="T14" s="347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8"/>
      <c r="AK14" s="348"/>
      <c r="AL14" s="348"/>
      <c r="AM14" s="349"/>
    </row>
    <row r="15" spans="1:39">
      <c r="B15" s="347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9"/>
      <c r="T15" s="347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8"/>
      <c r="AK15" s="348"/>
      <c r="AL15" s="348"/>
      <c r="AM15" s="349"/>
    </row>
    <row r="16" spans="1:39">
      <c r="B16" s="347"/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9"/>
      <c r="T16" s="347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8"/>
      <c r="AJ16" s="348"/>
      <c r="AK16" s="348"/>
      <c r="AL16" s="348"/>
      <c r="AM16" s="349"/>
    </row>
    <row r="17" spans="2:39">
      <c r="B17" s="347"/>
      <c r="C17" s="348"/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9"/>
      <c r="T17" s="347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8"/>
      <c r="AG17" s="348"/>
      <c r="AH17" s="348"/>
      <c r="AI17" s="348"/>
      <c r="AJ17" s="348"/>
      <c r="AK17" s="348"/>
      <c r="AL17" s="348"/>
      <c r="AM17" s="349"/>
    </row>
    <row r="18" spans="2:39">
      <c r="B18" s="347"/>
      <c r="C18" s="348"/>
      <c r="D18" s="348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9"/>
      <c r="T18" s="347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348"/>
      <c r="AL18" s="348"/>
      <c r="AM18" s="349"/>
    </row>
    <row r="19" spans="2:39">
      <c r="B19" s="347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9"/>
      <c r="T19" s="347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  <c r="AF19" s="348"/>
      <c r="AG19" s="348"/>
      <c r="AH19" s="348"/>
      <c r="AI19" s="348"/>
      <c r="AJ19" s="348"/>
      <c r="AK19" s="348"/>
      <c r="AL19" s="348"/>
      <c r="AM19" s="349"/>
    </row>
    <row r="20" spans="2:39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9"/>
      <c r="T20" s="347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348"/>
      <c r="AL20" s="348"/>
      <c r="AM20" s="349"/>
    </row>
    <row r="21" spans="2:39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9"/>
      <c r="T21" s="347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9"/>
    </row>
    <row r="22" spans="2:39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8"/>
      <c r="P22" s="348"/>
      <c r="Q22" s="348"/>
      <c r="R22" s="349"/>
      <c r="T22" s="347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348"/>
      <c r="AL22" s="348"/>
      <c r="AM22" s="349"/>
    </row>
    <row r="23" spans="2:39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8"/>
      <c r="M23" s="348"/>
      <c r="N23" s="348"/>
      <c r="O23" s="348"/>
      <c r="P23" s="348"/>
      <c r="Q23" s="348"/>
      <c r="R23" s="349"/>
      <c r="T23" s="347"/>
      <c r="U23" s="348"/>
      <c r="V23" s="348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9"/>
    </row>
    <row r="24" spans="2:39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9"/>
      <c r="T24" s="347"/>
      <c r="U24" s="348"/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9"/>
    </row>
    <row r="25" spans="2:39">
      <c r="B25" s="347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9"/>
      <c r="T25" s="347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9"/>
    </row>
    <row r="26" spans="2:39">
      <c r="B26" s="347"/>
      <c r="C26" s="348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9"/>
      <c r="T26" s="347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9"/>
    </row>
    <row r="27" spans="2:39">
      <c r="B27" s="347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9"/>
      <c r="T27" s="347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9"/>
    </row>
    <row r="28" spans="2:39">
      <c r="B28" s="347"/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9"/>
      <c r="T28" s="347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9"/>
    </row>
    <row r="29" spans="2:39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9"/>
      <c r="T29" s="347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9"/>
    </row>
    <row r="30" spans="2:39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9"/>
      <c r="T30" s="347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9"/>
    </row>
    <row r="31" spans="2:39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9"/>
      <c r="T31" s="347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9"/>
    </row>
    <row r="32" spans="2:39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9"/>
      <c r="T32" s="347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9"/>
    </row>
    <row r="33" spans="2:39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9"/>
      <c r="T33" s="347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9"/>
    </row>
    <row r="34" spans="2:39">
      <c r="B34" s="347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9"/>
      <c r="T34" s="347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9"/>
    </row>
    <row r="35" spans="2:39">
      <c r="B35" s="347"/>
      <c r="C35" s="348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9"/>
      <c r="T35" s="347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9"/>
    </row>
    <row r="36" spans="2:39">
      <c r="B36" s="347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9"/>
      <c r="T36" s="347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8"/>
      <c r="AK36" s="348"/>
      <c r="AL36" s="348"/>
      <c r="AM36" s="349"/>
    </row>
    <row r="37" spans="2:39">
      <c r="B37" s="347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9"/>
      <c r="T37" s="347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9"/>
    </row>
    <row r="38" spans="2:39">
      <c r="B38" s="347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9"/>
      <c r="T38" s="347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348"/>
      <c r="AF38" s="348"/>
      <c r="AG38" s="348"/>
      <c r="AH38" s="348"/>
      <c r="AI38" s="348"/>
      <c r="AJ38" s="348"/>
      <c r="AK38" s="348"/>
      <c r="AL38" s="348"/>
      <c r="AM38" s="349"/>
    </row>
    <row r="39" spans="2:39">
      <c r="B39" s="347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9"/>
      <c r="T39" s="347"/>
      <c r="U39" s="348"/>
      <c r="V39" s="348"/>
      <c r="W39" s="348"/>
      <c r="X39" s="348"/>
      <c r="Y39" s="348"/>
      <c r="Z39" s="348"/>
      <c r="AA39" s="348"/>
      <c r="AB39" s="348"/>
      <c r="AC39" s="348"/>
      <c r="AD39" s="348"/>
      <c r="AE39" s="348"/>
      <c r="AF39" s="348"/>
      <c r="AG39" s="348"/>
      <c r="AH39" s="348"/>
      <c r="AI39" s="348"/>
      <c r="AJ39" s="348"/>
      <c r="AK39" s="348"/>
      <c r="AL39" s="348"/>
      <c r="AM39" s="349"/>
    </row>
    <row r="40" spans="2:39">
      <c r="B40" s="347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9"/>
      <c r="T40" s="347"/>
      <c r="U40" s="348"/>
      <c r="V40" s="348"/>
      <c r="W40" s="348"/>
      <c r="X40" s="348"/>
      <c r="Y40" s="348"/>
      <c r="Z40" s="348"/>
      <c r="AA40" s="348"/>
      <c r="AB40" s="348"/>
      <c r="AC40" s="348"/>
      <c r="AD40" s="348"/>
      <c r="AE40" s="348"/>
      <c r="AF40" s="348"/>
      <c r="AG40" s="348"/>
      <c r="AH40" s="348"/>
      <c r="AI40" s="348"/>
      <c r="AJ40" s="348"/>
      <c r="AK40" s="348"/>
      <c r="AL40" s="348"/>
      <c r="AM40" s="349"/>
    </row>
    <row r="41" spans="2:39">
      <c r="B41" s="347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48"/>
      <c r="P41" s="348"/>
      <c r="Q41" s="348"/>
      <c r="R41" s="349"/>
      <c r="T41" s="347"/>
      <c r="U41" s="348"/>
      <c r="V41" s="348"/>
      <c r="W41" s="348"/>
      <c r="X41" s="348"/>
      <c r="Y41" s="348"/>
      <c r="Z41" s="348"/>
      <c r="AA41" s="348"/>
      <c r="AB41" s="348"/>
      <c r="AC41" s="348"/>
      <c r="AD41" s="348"/>
      <c r="AE41" s="348"/>
      <c r="AF41" s="348"/>
      <c r="AG41" s="348"/>
      <c r="AH41" s="348"/>
      <c r="AI41" s="348"/>
      <c r="AJ41" s="348"/>
      <c r="AK41" s="348"/>
      <c r="AL41" s="348"/>
      <c r="AM41" s="349"/>
    </row>
    <row r="42" spans="2:39">
      <c r="B42" s="347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9"/>
      <c r="T42" s="347"/>
      <c r="U42" s="348"/>
      <c r="V42" s="348"/>
      <c r="W42" s="348"/>
      <c r="X42" s="348"/>
      <c r="Y42" s="348"/>
      <c r="Z42" s="348"/>
      <c r="AA42" s="348"/>
      <c r="AB42" s="348"/>
      <c r="AC42" s="348"/>
      <c r="AD42" s="348"/>
      <c r="AE42" s="348"/>
      <c r="AF42" s="348"/>
      <c r="AG42" s="348"/>
      <c r="AH42" s="348"/>
      <c r="AI42" s="348"/>
      <c r="AJ42" s="348"/>
      <c r="AK42" s="348"/>
      <c r="AL42" s="348"/>
      <c r="AM42" s="349"/>
    </row>
    <row r="43" spans="2:39">
      <c r="B43" s="347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9"/>
      <c r="T43" s="347"/>
      <c r="U43" s="348"/>
      <c r="V43" s="348"/>
      <c r="W43" s="348"/>
      <c r="X43" s="348"/>
      <c r="Y43" s="348"/>
      <c r="Z43" s="348"/>
      <c r="AA43" s="348"/>
      <c r="AB43" s="348"/>
      <c r="AC43" s="348"/>
      <c r="AD43" s="348"/>
      <c r="AE43" s="348"/>
      <c r="AF43" s="348"/>
      <c r="AG43" s="348"/>
      <c r="AH43" s="348"/>
      <c r="AI43" s="348"/>
      <c r="AJ43" s="348"/>
      <c r="AK43" s="348"/>
      <c r="AL43" s="348"/>
      <c r="AM43" s="349"/>
    </row>
    <row r="44" spans="2:39">
      <c r="B44" s="347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9"/>
      <c r="T44" s="347"/>
      <c r="U44" s="348"/>
      <c r="V44" s="348"/>
      <c r="W44" s="348"/>
      <c r="X44" s="348"/>
      <c r="Y44" s="348"/>
      <c r="Z44" s="348"/>
      <c r="AA44" s="348"/>
      <c r="AB44" s="348"/>
      <c r="AC44" s="348"/>
      <c r="AD44" s="348"/>
      <c r="AE44" s="348"/>
      <c r="AF44" s="348"/>
      <c r="AG44" s="348"/>
      <c r="AH44" s="348"/>
      <c r="AI44" s="348"/>
      <c r="AJ44" s="348"/>
      <c r="AK44" s="348"/>
      <c r="AL44" s="348"/>
      <c r="AM44" s="349"/>
    </row>
    <row r="45" spans="2:39">
      <c r="B45" s="350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2"/>
      <c r="T45" s="350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2"/>
    </row>
  </sheetData>
  <mergeCells count="4">
    <mergeCell ref="B2:R2"/>
    <mergeCell ref="T2:AM2"/>
    <mergeCell ref="B4:R45"/>
    <mergeCell ref="T4:AM45"/>
  </mergeCells>
  <hyperlinks>
    <hyperlink ref="A1" location="Index!A1" display="Back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pane ySplit="3" topLeftCell="A4" activePane="bottomLeft" state="frozen"/>
      <selection pane="bottomLeft"/>
    </sheetView>
  </sheetViews>
  <sheetFormatPr defaultColWidth="8.75" defaultRowHeight="14.45"/>
  <cols>
    <col min="1" max="1" width="5.875" style="183" customWidth="1"/>
    <col min="2" max="2" width="26.75" style="183" customWidth="1"/>
    <col min="3" max="3" width="42.625" style="184" customWidth="1"/>
    <col min="4" max="4" width="27.5" style="183" customWidth="1"/>
    <col min="5" max="5" width="30.875" style="183" customWidth="1"/>
    <col min="6" max="6" width="35.25" style="183" customWidth="1"/>
    <col min="7" max="7" width="24.375" style="183" customWidth="1"/>
    <col min="8" max="16384" width="8.75" style="183"/>
  </cols>
  <sheetData>
    <row r="1" spans="1:7" ht="18" customHeight="1">
      <c r="A1" s="235" t="s">
        <v>20</v>
      </c>
    </row>
    <row r="2" spans="1:7" ht="23.1" customHeight="1">
      <c r="B2" s="353" t="s">
        <v>77</v>
      </c>
      <c r="C2" s="354"/>
      <c r="D2" s="354"/>
      <c r="E2" s="354"/>
      <c r="F2" s="355"/>
      <c r="G2" s="185"/>
    </row>
    <row r="3" spans="1:7" ht="30.95" customHeight="1">
      <c r="B3" s="186" t="s">
        <v>78</v>
      </c>
      <c r="C3" s="186" t="s">
        <v>79</v>
      </c>
      <c r="D3" s="186" t="s">
        <v>80</v>
      </c>
      <c r="E3" s="186" t="s">
        <v>81</v>
      </c>
      <c r="F3" s="187" t="s">
        <v>82</v>
      </c>
      <c r="G3" s="185"/>
    </row>
    <row r="4" spans="1:7">
      <c r="B4" s="188" t="s">
        <v>83</v>
      </c>
      <c r="C4" s="237" t="s">
        <v>84</v>
      </c>
      <c r="D4" s="189" t="s">
        <v>84</v>
      </c>
      <c r="E4" s="189" t="s">
        <v>84</v>
      </c>
      <c r="F4" s="190" t="s">
        <v>85</v>
      </c>
      <c r="G4" s="185"/>
    </row>
    <row r="5" spans="1:7">
      <c r="B5" s="191" t="s">
        <v>86</v>
      </c>
      <c r="C5" s="238" t="s">
        <v>87</v>
      </c>
      <c r="D5" s="192" t="s">
        <v>88</v>
      </c>
      <c r="E5" s="192" t="s">
        <v>87</v>
      </c>
      <c r="F5" s="193" t="s">
        <v>89</v>
      </c>
      <c r="G5" s="185"/>
    </row>
    <row r="6" spans="1:7">
      <c r="B6" s="191" t="s">
        <v>90</v>
      </c>
      <c r="C6" s="238" t="s">
        <v>91</v>
      </c>
      <c r="D6" s="192" t="s">
        <v>92</v>
      </c>
      <c r="E6" s="192" t="s">
        <v>93</v>
      </c>
      <c r="F6" s="193" t="s">
        <v>94</v>
      </c>
      <c r="G6" s="185"/>
    </row>
    <row r="7" spans="1:7">
      <c r="B7" s="191" t="s">
        <v>95</v>
      </c>
      <c r="C7" s="238" t="s">
        <v>96</v>
      </c>
      <c r="D7" s="192" t="s">
        <v>97</v>
      </c>
      <c r="E7" s="192" t="s">
        <v>98</v>
      </c>
      <c r="F7" s="193" t="s">
        <v>96</v>
      </c>
      <c r="G7" s="185"/>
    </row>
    <row r="8" spans="1:7">
      <c r="B8" s="191" t="s">
        <v>34</v>
      </c>
      <c r="C8" s="238" t="s">
        <v>99</v>
      </c>
      <c r="D8" s="192" t="s">
        <v>100</v>
      </c>
      <c r="E8" s="192" t="s">
        <v>101</v>
      </c>
      <c r="F8" s="193" t="s">
        <v>102</v>
      </c>
      <c r="G8" s="185"/>
    </row>
    <row r="9" spans="1:7">
      <c r="B9" s="191" t="s">
        <v>103</v>
      </c>
      <c r="C9" s="238" t="s">
        <v>104</v>
      </c>
      <c r="D9" s="192" t="s">
        <v>105</v>
      </c>
      <c r="E9" s="192" t="s">
        <v>104</v>
      </c>
      <c r="F9" s="193" t="s">
        <v>104</v>
      </c>
      <c r="G9" s="185"/>
    </row>
    <row r="10" spans="1:7">
      <c r="B10" s="191" t="s">
        <v>28</v>
      </c>
      <c r="C10" s="238" t="s">
        <v>106</v>
      </c>
      <c r="D10" s="192" t="s">
        <v>106</v>
      </c>
      <c r="E10" s="192" t="s">
        <v>106</v>
      </c>
      <c r="F10" s="193" t="s">
        <v>107</v>
      </c>
      <c r="G10" s="185"/>
    </row>
    <row r="11" spans="1:7">
      <c r="B11" s="191" t="s">
        <v>108</v>
      </c>
      <c r="C11" s="238" t="s">
        <v>109</v>
      </c>
      <c r="D11" s="192" t="s">
        <v>109</v>
      </c>
      <c r="E11" s="192" t="s">
        <v>109</v>
      </c>
      <c r="F11" s="193" t="s">
        <v>110</v>
      </c>
      <c r="G11" s="185"/>
    </row>
    <row r="12" spans="1:7">
      <c r="B12" s="191" t="s">
        <v>111</v>
      </c>
      <c r="C12" s="238" t="s">
        <v>112</v>
      </c>
      <c r="D12" s="192" t="s">
        <v>112</v>
      </c>
      <c r="E12" s="192" t="s">
        <v>112</v>
      </c>
      <c r="F12" s="193" t="s">
        <v>112</v>
      </c>
      <c r="G12" s="185"/>
    </row>
    <row r="13" spans="1:7">
      <c r="B13" s="191" t="s">
        <v>113</v>
      </c>
      <c r="C13" s="238" t="s">
        <v>114</v>
      </c>
      <c r="D13" s="192" t="s">
        <v>115</v>
      </c>
      <c r="E13" s="192" t="s">
        <v>116</v>
      </c>
      <c r="F13" s="193" t="s">
        <v>117</v>
      </c>
      <c r="G13" s="185"/>
    </row>
    <row r="14" spans="1:7">
      <c r="B14" s="191" t="s">
        <v>118</v>
      </c>
      <c r="C14" s="238" t="s">
        <v>119</v>
      </c>
      <c r="D14" s="192" t="s">
        <v>120</v>
      </c>
      <c r="E14" s="192" t="s">
        <v>121</v>
      </c>
      <c r="F14" s="193" t="s">
        <v>122</v>
      </c>
      <c r="G14" s="185"/>
    </row>
    <row r="15" spans="1:7">
      <c r="B15" s="191" t="s">
        <v>123</v>
      </c>
      <c r="C15" s="238" t="s">
        <v>124</v>
      </c>
      <c r="D15" s="192" t="s">
        <v>125</v>
      </c>
      <c r="E15" s="192" t="s">
        <v>124</v>
      </c>
      <c r="F15" s="193" t="s">
        <v>125</v>
      </c>
      <c r="G15" s="185"/>
    </row>
    <row r="16" spans="1:7">
      <c r="B16" s="191" t="s">
        <v>126</v>
      </c>
      <c r="C16" s="238" t="s">
        <v>127</v>
      </c>
      <c r="D16" s="192" t="s">
        <v>128</v>
      </c>
      <c r="E16" s="192" t="s">
        <v>127</v>
      </c>
      <c r="F16" s="193" t="s">
        <v>129</v>
      </c>
      <c r="G16" s="185"/>
    </row>
    <row r="17" spans="2:7">
      <c r="B17" s="191" t="s">
        <v>130</v>
      </c>
      <c r="C17" s="238" t="s">
        <v>131</v>
      </c>
      <c r="D17" s="192" t="s">
        <v>132</v>
      </c>
      <c r="E17" s="192" t="s">
        <v>131</v>
      </c>
      <c r="F17" s="193" t="s">
        <v>132</v>
      </c>
      <c r="G17" s="185"/>
    </row>
    <row r="18" spans="2:7">
      <c r="B18" s="191" t="s">
        <v>133</v>
      </c>
      <c r="C18" s="238" t="s">
        <v>134</v>
      </c>
      <c r="D18" s="192" t="s">
        <v>135</v>
      </c>
      <c r="E18" s="192" t="s">
        <v>136</v>
      </c>
      <c r="F18" s="193" t="s">
        <v>136</v>
      </c>
      <c r="G18" s="185"/>
    </row>
    <row r="19" spans="2:7">
      <c r="B19" s="191" t="s">
        <v>137</v>
      </c>
      <c r="C19" s="238" t="s">
        <v>138</v>
      </c>
      <c r="D19" s="192" t="s">
        <v>138</v>
      </c>
      <c r="E19" s="192" t="s">
        <v>138</v>
      </c>
      <c r="F19" s="193" t="s">
        <v>139</v>
      </c>
      <c r="G19" s="185"/>
    </row>
    <row r="20" spans="2:7">
      <c r="B20" s="191" t="s">
        <v>140</v>
      </c>
      <c r="C20" s="238" t="s">
        <v>141</v>
      </c>
      <c r="D20" s="192" t="s">
        <v>141</v>
      </c>
      <c r="E20" s="192" t="s">
        <v>141</v>
      </c>
      <c r="F20" s="193" t="s">
        <v>141</v>
      </c>
      <c r="G20" s="185"/>
    </row>
    <row r="21" spans="2:7">
      <c r="B21" s="191" t="s">
        <v>142</v>
      </c>
      <c r="C21" s="238" t="s">
        <v>143</v>
      </c>
      <c r="D21" s="192" t="s">
        <v>143</v>
      </c>
      <c r="E21" s="192" t="s">
        <v>143</v>
      </c>
      <c r="F21" s="193" t="s">
        <v>144</v>
      </c>
      <c r="G21" s="185"/>
    </row>
    <row r="22" spans="2:7">
      <c r="B22" s="191" t="s">
        <v>145</v>
      </c>
      <c r="C22" s="238" t="s">
        <v>146</v>
      </c>
      <c r="D22" s="192" t="s">
        <v>146</v>
      </c>
      <c r="E22" s="192" t="s">
        <v>146</v>
      </c>
      <c r="F22" s="193" t="s">
        <v>147</v>
      </c>
      <c r="G22" s="185"/>
    </row>
    <row r="23" spans="2:7">
      <c r="B23" s="191" t="s">
        <v>148</v>
      </c>
      <c r="C23" s="238" t="s">
        <v>146</v>
      </c>
      <c r="D23" s="192" t="s">
        <v>149</v>
      </c>
      <c r="E23" s="192" t="s">
        <v>150</v>
      </c>
      <c r="F23" s="193" t="s">
        <v>151</v>
      </c>
      <c r="G23" s="185"/>
    </row>
    <row r="24" spans="2:7">
      <c r="B24" s="191" t="s">
        <v>152</v>
      </c>
      <c r="C24" s="238" t="s">
        <v>153</v>
      </c>
      <c r="D24" s="192" t="s">
        <v>154</v>
      </c>
      <c r="E24" s="192" t="s">
        <v>153</v>
      </c>
      <c r="F24" s="193" t="s">
        <v>155</v>
      </c>
      <c r="G24" s="185"/>
    </row>
    <row r="25" spans="2:7" ht="15.2">
      <c r="B25" s="194" t="s">
        <v>156</v>
      </c>
      <c r="C25" s="239" t="s">
        <v>157</v>
      </c>
      <c r="D25" s="195" t="s">
        <v>158</v>
      </c>
      <c r="E25" s="195" t="s">
        <v>159</v>
      </c>
      <c r="F25" s="196" t="s">
        <v>160</v>
      </c>
      <c r="G25" s="185"/>
    </row>
  </sheetData>
  <mergeCells count="1">
    <mergeCell ref="B2:F2"/>
  </mergeCells>
  <hyperlinks>
    <hyperlink ref="A1" location="Index!A1" display="Back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pane ySplit="2" topLeftCell="A3" activePane="bottomLeft" state="frozen"/>
      <selection pane="bottomLeft"/>
    </sheetView>
  </sheetViews>
  <sheetFormatPr defaultColWidth="9" defaultRowHeight="12.95"/>
  <cols>
    <col min="1" max="1" width="6.625" style="162" customWidth="1"/>
    <col min="2" max="2" width="32.25" style="179" customWidth="1"/>
    <col min="3" max="3" width="30.5" style="162" customWidth="1"/>
    <col min="4" max="4" width="32.25" style="162" customWidth="1"/>
    <col min="5" max="5" width="43.625" style="162" customWidth="1"/>
    <col min="6" max="6" width="37" style="162" customWidth="1"/>
    <col min="7" max="16384" width="9" style="162"/>
  </cols>
  <sheetData>
    <row r="1" spans="1:6" ht="15.2">
      <c r="A1" s="235" t="s">
        <v>20</v>
      </c>
    </row>
    <row r="2" spans="1:6" ht="27.95" customHeight="1">
      <c r="B2" s="240" t="s">
        <v>161</v>
      </c>
      <c r="C2" s="241" t="s">
        <v>162</v>
      </c>
      <c r="D2" s="240" t="s">
        <v>163</v>
      </c>
      <c r="E2" s="241" t="s">
        <v>164</v>
      </c>
      <c r="F2" s="240" t="s">
        <v>165</v>
      </c>
    </row>
    <row r="3" spans="1:6">
      <c r="B3" s="180" t="s">
        <v>166</v>
      </c>
      <c r="C3" s="166" t="s">
        <v>167</v>
      </c>
      <c r="D3" s="166" t="s">
        <v>168</v>
      </c>
      <c r="E3" s="166" t="s">
        <v>169</v>
      </c>
      <c r="F3" s="176" t="s">
        <v>170</v>
      </c>
    </row>
    <row r="4" spans="1:6">
      <c r="B4" s="181" t="s">
        <v>171</v>
      </c>
      <c r="C4" s="173" t="s">
        <v>172</v>
      </c>
      <c r="D4" s="173" t="s">
        <v>173</v>
      </c>
      <c r="E4" s="173" t="s">
        <v>174</v>
      </c>
      <c r="F4" s="177" t="s">
        <v>175</v>
      </c>
    </row>
    <row r="5" spans="1:6">
      <c r="B5" s="181" t="s">
        <v>176</v>
      </c>
      <c r="C5" s="173" t="s">
        <v>177</v>
      </c>
      <c r="D5" s="173" t="s">
        <v>178</v>
      </c>
      <c r="E5" s="173" t="s">
        <v>179</v>
      </c>
      <c r="F5" s="177" t="s">
        <v>180</v>
      </c>
    </row>
    <row r="6" spans="1:6">
      <c r="B6" s="181" t="s">
        <v>181</v>
      </c>
      <c r="C6" s="173" t="s">
        <v>182</v>
      </c>
      <c r="D6" s="173" t="s">
        <v>183</v>
      </c>
      <c r="E6" s="173" t="s">
        <v>184</v>
      </c>
      <c r="F6" s="177" t="s">
        <v>185</v>
      </c>
    </row>
    <row r="7" spans="1:6">
      <c r="B7" s="181" t="s">
        <v>186</v>
      </c>
      <c r="C7" s="173" t="s">
        <v>187</v>
      </c>
      <c r="D7" s="173" t="s">
        <v>188</v>
      </c>
      <c r="E7" s="173" t="s">
        <v>189</v>
      </c>
      <c r="F7" s="177" t="s">
        <v>190</v>
      </c>
    </row>
    <row r="8" spans="1:6">
      <c r="B8" s="181" t="s">
        <v>191</v>
      </c>
      <c r="C8" s="173" t="s">
        <v>192</v>
      </c>
      <c r="D8" s="173" t="s">
        <v>193</v>
      </c>
      <c r="E8" s="173" t="s">
        <v>194</v>
      </c>
      <c r="F8" s="177" t="s">
        <v>195</v>
      </c>
    </row>
    <row r="9" spans="1:6">
      <c r="B9" s="181" t="s">
        <v>63</v>
      </c>
      <c r="C9" s="173" t="s">
        <v>196</v>
      </c>
      <c r="D9" s="173" t="s">
        <v>196</v>
      </c>
      <c r="E9" s="173" t="s">
        <v>196</v>
      </c>
      <c r="F9" s="177" t="s">
        <v>196</v>
      </c>
    </row>
    <row r="10" spans="1:6">
      <c r="B10" s="181" t="s">
        <v>197</v>
      </c>
      <c r="C10" s="173" t="s">
        <v>198</v>
      </c>
      <c r="D10" s="173" t="s">
        <v>198</v>
      </c>
      <c r="E10" s="173" t="s">
        <v>199</v>
      </c>
      <c r="F10" s="177" t="s">
        <v>200</v>
      </c>
    </row>
    <row r="11" spans="1:6">
      <c r="B11" s="181" t="s">
        <v>201</v>
      </c>
      <c r="C11" s="173" t="s">
        <v>198</v>
      </c>
      <c r="D11" s="173" t="s">
        <v>198</v>
      </c>
      <c r="E11" s="173" t="s">
        <v>198</v>
      </c>
      <c r="F11" s="177" t="s">
        <v>200</v>
      </c>
    </row>
    <row r="12" spans="1:6">
      <c r="B12" s="181" t="s">
        <v>202</v>
      </c>
      <c r="C12" s="173" t="s">
        <v>203</v>
      </c>
      <c r="D12" s="173" t="s">
        <v>204</v>
      </c>
      <c r="E12" s="173" t="s">
        <v>205</v>
      </c>
      <c r="F12" s="177" t="s">
        <v>206</v>
      </c>
    </row>
    <row r="13" spans="1:6">
      <c r="B13" s="181" t="s">
        <v>207</v>
      </c>
      <c r="C13" s="173" t="s">
        <v>208</v>
      </c>
      <c r="D13" s="173" t="s">
        <v>209</v>
      </c>
      <c r="E13" s="173" t="s">
        <v>210</v>
      </c>
      <c r="F13" s="177" t="s">
        <v>211</v>
      </c>
    </row>
    <row r="14" spans="1:6">
      <c r="B14" s="181" t="s">
        <v>212</v>
      </c>
      <c r="C14" s="173" t="s">
        <v>213</v>
      </c>
      <c r="D14" s="173" t="s">
        <v>214</v>
      </c>
      <c r="E14" s="173" t="s">
        <v>215</v>
      </c>
      <c r="F14" s="177" t="s">
        <v>216</v>
      </c>
    </row>
    <row r="15" spans="1:6">
      <c r="B15" s="181" t="s">
        <v>217</v>
      </c>
      <c r="C15" s="173" t="s">
        <v>218</v>
      </c>
      <c r="D15" s="173" t="s">
        <v>219</v>
      </c>
      <c r="E15" s="173" t="s">
        <v>220</v>
      </c>
      <c r="F15" s="177" t="s">
        <v>221</v>
      </c>
    </row>
    <row r="16" spans="1:6">
      <c r="B16" s="181" t="s">
        <v>222</v>
      </c>
      <c r="C16" s="173" t="s">
        <v>223</v>
      </c>
      <c r="D16" s="173" t="s">
        <v>224</v>
      </c>
      <c r="E16" s="173" t="s">
        <v>225</v>
      </c>
      <c r="F16" s="177" t="s">
        <v>226</v>
      </c>
    </row>
    <row r="17" spans="2:6">
      <c r="B17" s="181" t="s">
        <v>227</v>
      </c>
      <c r="C17" s="173" t="s">
        <v>228</v>
      </c>
      <c r="D17" s="173" t="s">
        <v>229</v>
      </c>
      <c r="E17" s="173" t="s">
        <v>230</v>
      </c>
      <c r="F17" s="177" t="s">
        <v>231</v>
      </c>
    </row>
    <row r="18" spans="2:6">
      <c r="B18" s="181" t="s">
        <v>232</v>
      </c>
      <c r="C18" s="173" t="s">
        <v>233</v>
      </c>
      <c r="D18" s="173" t="s">
        <v>233</v>
      </c>
      <c r="E18" s="173" t="s">
        <v>234</v>
      </c>
      <c r="F18" s="177" t="s">
        <v>234</v>
      </c>
    </row>
    <row r="19" spans="2:6" ht="13.7">
      <c r="B19" s="182" t="s">
        <v>235</v>
      </c>
      <c r="C19" s="172" t="s">
        <v>236</v>
      </c>
      <c r="D19" s="172" t="s">
        <v>236</v>
      </c>
      <c r="E19" s="172" t="s">
        <v>236</v>
      </c>
      <c r="F19" s="178" t="s">
        <v>236</v>
      </c>
    </row>
  </sheetData>
  <hyperlinks>
    <hyperlink ref="A1" location="Index!A1" display="Back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tabSelected="1" workbookViewId="0">
      <pane ySplit="2" topLeftCell="A3" activePane="bottomLeft" state="frozen"/>
      <selection pane="bottomLeft" activeCell="E6" sqref="E6"/>
    </sheetView>
  </sheetViews>
  <sheetFormatPr defaultColWidth="9" defaultRowHeight="12.6"/>
  <cols>
    <col min="1" max="1" width="6.625" style="162" customWidth="1"/>
    <col min="2" max="2" width="6.25" style="162" customWidth="1"/>
    <col min="3" max="3" width="10.5" style="162" customWidth="1"/>
    <col min="4" max="4" width="17.75" style="162" customWidth="1"/>
    <col min="5" max="5" width="20.875" style="162" customWidth="1"/>
    <col min="6" max="6" width="9.375" style="162" customWidth="1"/>
    <col min="7" max="7" width="4.5" style="163" customWidth="1"/>
    <col min="8" max="8" width="40.5" style="163" customWidth="1"/>
    <col min="9" max="9" width="60.5" style="162" customWidth="1"/>
    <col min="10" max="10" width="32.375" style="163" customWidth="1"/>
    <col min="11" max="11" width="27.5" style="162" customWidth="1"/>
    <col min="12" max="16384" width="9" style="162"/>
  </cols>
  <sheetData>
    <row r="1" spans="1:11" ht="15.2">
      <c r="A1" s="235" t="s">
        <v>20</v>
      </c>
    </row>
    <row r="2" spans="1:11" ht="29.1" customHeight="1">
      <c r="B2" s="242" t="s">
        <v>237</v>
      </c>
      <c r="C2" s="243" t="s">
        <v>238</v>
      </c>
      <c r="D2" s="243" t="s">
        <v>239</v>
      </c>
      <c r="E2" s="243" t="s">
        <v>240</v>
      </c>
      <c r="F2" s="243" t="s">
        <v>241</v>
      </c>
      <c r="G2" s="243" t="s">
        <v>242</v>
      </c>
      <c r="H2" s="243" t="s">
        <v>22</v>
      </c>
      <c r="I2" s="243" t="s">
        <v>243</v>
      </c>
      <c r="J2" s="243" t="s">
        <v>244</v>
      </c>
      <c r="K2" s="243" t="s">
        <v>245</v>
      </c>
    </row>
    <row r="3" spans="1:11">
      <c r="B3" s="164">
        <v>1</v>
      </c>
      <c r="C3" s="165" t="s">
        <v>246</v>
      </c>
      <c r="D3" s="166" t="s">
        <v>247</v>
      </c>
      <c r="E3" s="166" t="s">
        <v>248</v>
      </c>
      <c r="F3" s="165" t="s">
        <v>249</v>
      </c>
      <c r="G3" s="165">
        <v>1</v>
      </c>
      <c r="H3" s="165" t="s">
        <v>250</v>
      </c>
      <c r="I3" s="166" t="s">
        <v>251</v>
      </c>
      <c r="J3" s="357" t="s">
        <v>252</v>
      </c>
      <c r="K3" s="173"/>
    </row>
    <row r="4" spans="1:11">
      <c r="B4" s="167">
        <v>2</v>
      </c>
      <c r="C4" s="168" t="s">
        <v>253</v>
      </c>
      <c r="D4" s="173" t="s">
        <v>254</v>
      </c>
      <c r="E4" s="173" t="s">
        <v>255</v>
      </c>
      <c r="F4" s="168" t="s">
        <v>256</v>
      </c>
      <c r="G4" s="168">
        <v>1</v>
      </c>
      <c r="H4" s="168" t="s">
        <v>257</v>
      </c>
      <c r="I4" s="173" t="s">
        <v>258</v>
      </c>
      <c r="J4" s="358"/>
      <c r="K4" s="173"/>
    </row>
    <row r="5" spans="1:11">
      <c r="B5" s="167">
        <v>3</v>
      </c>
      <c r="C5" s="168" t="s">
        <v>259</v>
      </c>
      <c r="D5" s="173" t="s">
        <v>260</v>
      </c>
      <c r="E5" s="173" t="s">
        <v>261</v>
      </c>
      <c r="F5" s="168" t="s">
        <v>256</v>
      </c>
      <c r="G5" s="168">
        <v>1</v>
      </c>
      <c r="H5" s="168" t="s">
        <v>257</v>
      </c>
      <c r="I5" s="173" t="s">
        <v>258</v>
      </c>
      <c r="J5" s="174"/>
      <c r="K5" s="173"/>
    </row>
    <row r="6" spans="1:11">
      <c r="B6" s="167">
        <v>4</v>
      </c>
      <c r="C6" s="168" t="s">
        <v>262</v>
      </c>
      <c r="D6" s="173" t="s">
        <v>263</v>
      </c>
      <c r="E6" s="173" t="s">
        <v>264</v>
      </c>
      <c r="F6" s="168" t="s">
        <v>265</v>
      </c>
      <c r="G6" s="168">
        <v>1</v>
      </c>
      <c r="H6" s="168" t="s">
        <v>266</v>
      </c>
      <c r="I6" s="173" t="s">
        <v>267</v>
      </c>
      <c r="J6" s="174" t="s">
        <v>268</v>
      </c>
      <c r="K6" s="173"/>
    </row>
    <row r="7" spans="1:11">
      <c r="B7" s="167">
        <v>5</v>
      </c>
      <c r="C7" s="168" t="s">
        <v>269</v>
      </c>
      <c r="D7" s="173" t="s">
        <v>270</v>
      </c>
      <c r="E7" s="173" t="s">
        <v>271</v>
      </c>
      <c r="F7" s="168" t="s">
        <v>272</v>
      </c>
      <c r="G7" s="168">
        <v>1</v>
      </c>
      <c r="H7" s="168" t="s">
        <v>273</v>
      </c>
      <c r="I7" s="173" t="s">
        <v>46</v>
      </c>
      <c r="J7" s="174" t="s">
        <v>274</v>
      </c>
      <c r="K7" s="173"/>
    </row>
    <row r="8" spans="1:11">
      <c r="B8" s="167">
        <v>6</v>
      </c>
      <c r="C8" s="168" t="s">
        <v>275</v>
      </c>
      <c r="D8" s="173" t="s">
        <v>276</v>
      </c>
      <c r="E8" s="173" t="s">
        <v>277</v>
      </c>
      <c r="F8" s="168" t="s">
        <v>278</v>
      </c>
      <c r="G8" s="168">
        <v>1</v>
      </c>
      <c r="H8" s="168" t="s">
        <v>279</v>
      </c>
      <c r="I8" s="173" t="s">
        <v>280</v>
      </c>
      <c r="J8" s="174" t="s">
        <v>281</v>
      </c>
      <c r="K8" s="173"/>
    </row>
    <row r="9" spans="1:11">
      <c r="B9" s="167">
        <v>7</v>
      </c>
      <c r="C9" s="168" t="s">
        <v>282</v>
      </c>
      <c r="D9" s="173" t="s">
        <v>283</v>
      </c>
      <c r="E9" s="173" t="s">
        <v>284</v>
      </c>
      <c r="F9" s="168" t="s">
        <v>285</v>
      </c>
      <c r="G9" s="168">
        <v>1</v>
      </c>
      <c r="H9" s="168" t="s">
        <v>286</v>
      </c>
      <c r="I9" s="173" t="s">
        <v>287</v>
      </c>
      <c r="J9" s="174" t="s">
        <v>268</v>
      </c>
      <c r="K9" s="173"/>
    </row>
    <row r="10" spans="1:11">
      <c r="B10" s="167">
        <v>8</v>
      </c>
      <c r="C10" s="168" t="s">
        <v>288</v>
      </c>
      <c r="D10" s="173" t="s">
        <v>289</v>
      </c>
      <c r="E10" s="173" t="s">
        <v>290</v>
      </c>
      <c r="F10" s="168" t="s">
        <v>291</v>
      </c>
      <c r="G10" s="168">
        <v>1</v>
      </c>
      <c r="H10" s="168" t="s">
        <v>292</v>
      </c>
      <c r="I10" s="173" t="s">
        <v>293</v>
      </c>
      <c r="J10" s="174" t="s">
        <v>294</v>
      </c>
      <c r="K10" s="173"/>
    </row>
    <row r="11" spans="1:11">
      <c r="B11" s="167">
        <v>9</v>
      </c>
      <c r="C11" s="168" t="s">
        <v>295</v>
      </c>
      <c r="D11" s="173" t="s">
        <v>296</v>
      </c>
      <c r="E11" s="173" t="s">
        <v>297</v>
      </c>
      <c r="F11" s="169" t="s">
        <v>285</v>
      </c>
      <c r="G11" s="168">
        <v>1</v>
      </c>
      <c r="H11" s="168" t="s">
        <v>34</v>
      </c>
      <c r="I11" s="173" t="s">
        <v>298</v>
      </c>
      <c r="J11" s="174" t="s">
        <v>299</v>
      </c>
      <c r="K11" s="173"/>
    </row>
    <row r="12" spans="1:11" ht="13.35">
      <c r="B12" s="170">
        <v>10</v>
      </c>
      <c r="C12" s="171" t="s">
        <v>300</v>
      </c>
      <c r="D12" s="172" t="s">
        <v>163</v>
      </c>
      <c r="E12" s="172" t="s">
        <v>301</v>
      </c>
      <c r="F12" s="171" t="s">
        <v>285</v>
      </c>
      <c r="G12" s="171">
        <v>1</v>
      </c>
      <c r="H12" s="171" t="s">
        <v>302</v>
      </c>
      <c r="I12" s="172" t="s">
        <v>303</v>
      </c>
      <c r="J12" s="175" t="s">
        <v>304</v>
      </c>
      <c r="K12" s="173"/>
    </row>
    <row r="14" spans="1:11" ht="13.35"/>
    <row r="15" spans="1:11" ht="23.1" customHeight="1">
      <c r="B15" s="244" t="s">
        <v>237</v>
      </c>
      <c r="C15" s="359" t="s">
        <v>305</v>
      </c>
      <c r="D15" s="360"/>
      <c r="E15" s="360"/>
      <c r="F15" s="360"/>
      <c r="G15" s="360"/>
      <c r="H15" s="360"/>
      <c r="I15" s="361"/>
    </row>
    <row r="16" spans="1:11">
      <c r="B16" s="164">
        <v>1</v>
      </c>
      <c r="C16" s="362" t="s">
        <v>51</v>
      </c>
      <c r="D16" s="362"/>
      <c r="E16" s="362" t="s">
        <v>306</v>
      </c>
      <c r="F16" s="362"/>
      <c r="G16" s="362"/>
      <c r="H16" s="229"/>
      <c r="I16" s="176" t="s">
        <v>307</v>
      </c>
    </row>
    <row r="17" spans="2:9">
      <c r="B17" s="167">
        <v>2</v>
      </c>
      <c r="C17" s="363" t="s">
        <v>49</v>
      </c>
      <c r="D17" s="363"/>
      <c r="E17" s="363" t="s">
        <v>308</v>
      </c>
      <c r="F17" s="363"/>
      <c r="G17" s="363"/>
      <c r="H17" s="230"/>
      <c r="I17" s="177" t="s">
        <v>309</v>
      </c>
    </row>
    <row r="18" spans="2:9" ht="13.35">
      <c r="B18" s="170">
        <v>3</v>
      </c>
      <c r="C18" s="356" t="s">
        <v>53</v>
      </c>
      <c r="D18" s="356"/>
      <c r="E18" s="356" t="s">
        <v>310</v>
      </c>
      <c r="F18" s="356"/>
      <c r="G18" s="356"/>
      <c r="H18" s="231"/>
      <c r="I18" s="178" t="s">
        <v>309</v>
      </c>
    </row>
  </sheetData>
  <mergeCells count="8">
    <mergeCell ref="C18:D18"/>
    <mergeCell ref="E18:G18"/>
    <mergeCell ref="J3:J4"/>
    <mergeCell ref="C15:I15"/>
    <mergeCell ref="C16:D16"/>
    <mergeCell ref="E16:G16"/>
    <mergeCell ref="C17:D17"/>
    <mergeCell ref="E17:G17"/>
  </mergeCells>
  <hyperlinks>
    <hyperlink ref="A1" location="Index!A1" display="Back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workbookViewId="0">
      <pane ySplit="2" topLeftCell="A3" activePane="bottomLeft" state="frozen"/>
      <selection pane="bottomLeft"/>
    </sheetView>
  </sheetViews>
  <sheetFormatPr defaultColWidth="9" defaultRowHeight="14.45"/>
  <cols>
    <col min="1" max="1" width="8.75" customWidth="1"/>
    <col min="2" max="2" width="6.5" style="1" customWidth="1"/>
    <col min="3" max="3" width="33.5" customWidth="1"/>
    <col min="4" max="4" width="17.375" customWidth="1"/>
    <col min="5" max="5" width="12.875" customWidth="1"/>
    <col min="6" max="6" width="10.5" customWidth="1"/>
    <col min="7" max="7" width="33.5" customWidth="1"/>
  </cols>
  <sheetData>
    <row r="1" spans="1:8" ht="15.2">
      <c r="A1" s="235" t="s">
        <v>20</v>
      </c>
      <c r="B1" s="57"/>
    </row>
    <row r="2" spans="1:8" s="138" customFormat="1" ht="15.2">
      <c r="B2" s="245" t="s">
        <v>311</v>
      </c>
      <c r="C2" s="245" t="s">
        <v>239</v>
      </c>
      <c r="D2" s="245" t="s">
        <v>312</v>
      </c>
      <c r="E2" s="245" t="s">
        <v>313</v>
      </c>
      <c r="F2" s="245" t="s">
        <v>314</v>
      </c>
      <c r="G2" s="245" t="s">
        <v>243</v>
      </c>
      <c r="H2" s="139"/>
    </row>
    <row r="3" spans="1:8" s="138" customFormat="1">
      <c r="B3" s="140">
        <v>1</v>
      </c>
      <c r="C3" s="141" t="s">
        <v>250</v>
      </c>
      <c r="D3" s="141" t="s">
        <v>315</v>
      </c>
      <c r="E3" s="141">
        <v>550</v>
      </c>
      <c r="F3" s="141">
        <v>1.8149999999999999</v>
      </c>
      <c r="G3" s="142" t="s">
        <v>316</v>
      </c>
      <c r="H3" s="139"/>
    </row>
    <row r="4" spans="1:8" s="138" customFormat="1" ht="43.5">
      <c r="B4" s="143">
        <v>2</v>
      </c>
      <c r="C4" s="144" t="s">
        <v>317</v>
      </c>
      <c r="D4" s="144" t="s">
        <v>318</v>
      </c>
      <c r="E4" s="144">
        <v>2.3E-3</v>
      </c>
      <c r="F4" s="57">
        <v>6.3999999999999997E-5</v>
      </c>
      <c r="G4" s="145" t="s">
        <v>319</v>
      </c>
      <c r="H4" s="139"/>
    </row>
    <row r="5" spans="1:8" s="138" customFormat="1">
      <c r="B5" s="143">
        <v>3</v>
      </c>
      <c r="C5" s="144" t="s">
        <v>320</v>
      </c>
      <c r="D5" s="144" t="s">
        <v>321</v>
      </c>
      <c r="E5" s="144">
        <v>0.5</v>
      </c>
      <c r="F5" s="144">
        <v>2.5000000000000001E-3</v>
      </c>
      <c r="G5" s="146" t="s">
        <v>322</v>
      </c>
      <c r="H5" s="139"/>
    </row>
    <row r="6" spans="1:8" s="138" customFormat="1">
      <c r="B6" s="143">
        <v>4</v>
      </c>
      <c r="C6" s="144" t="s">
        <v>323</v>
      </c>
      <c r="D6" s="144" t="s">
        <v>315</v>
      </c>
      <c r="E6" s="144">
        <v>90</v>
      </c>
      <c r="F6" s="144">
        <v>0.29699999999999999</v>
      </c>
      <c r="G6" s="146" t="s">
        <v>324</v>
      </c>
      <c r="H6" s="139"/>
    </row>
    <row r="7" spans="1:8" s="138" customFormat="1">
      <c r="B7" s="143">
        <v>5</v>
      </c>
      <c r="C7" s="144" t="s">
        <v>325</v>
      </c>
      <c r="D7" s="144" t="s">
        <v>315</v>
      </c>
      <c r="E7" s="144">
        <v>50</v>
      </c>
      <c r="F7" s="144">
        <v>0.16500000000000001</v>
      </c>
      <c r="G7" s="146" t="s">
        <v>324</v>
      </c>
      <c r="H7" s="139"/>
    </row>
    <row r="8" spans="1:8" s="138" customFormat="1">
      <c r="B8" s="143">
        <v>6</v>
      </c>
      <c r="C8" s="144" t="s">
        <v>326</v>
      </c>
      <c r="D8" s="144" t="s">
        <v>315</v>
      </c>
      <c r="E8" s="144">
        <v>100</v>
      </c>
      <c r="F8" s="144">
        <v>0.33</v>
      </c>
      <c r="G8" s="146" t="s">
        <v>324</v>
      </c>
      <c r="H8" s="139"/>
    </row>
    <row r="9" spans="1:8" s="138" customFormat="1">
      <c r="B9" s="143">
        <v>7</v>
      </c>
      <c r="C9" s="144" t="s">
        <v>327</v>
      </c>
      <c r="D9" s="144" t="s">
        <v>315</v>
      </c>
      <c r="E9" s="144">
        <v>50</v>
      </c>
      <c r="F9" s="144">
        <v>0.16500000000000001</v>
      </c>
      <c r="G9" s="146" t="s">
        <v>324</v>
      </c>
      <c r="H9" s="139"/>
    </row>
    <row r="10" spans="1:8" s="138" customFormat="1" ht="15.2">
      <c r="B10" s="147">
        <v>8</v>
      </c>
      <c r="C10" s="148" t="s">
        <v>328</v>
      </c>
      <c r="D10" s="148" t="s">
        <v>329</v>
      </c>
      <c r="E10" s="148">
        <v>350</v>
      </c>
      <c r="F10" s="148">
        <v>1.75</v>
      </c>
      <c r="G10" s="149" t="s">
        <v>330</v>
      </c>
      <c r="H10" s="139"/>
    </row>
    <row r="12" spans="1:8" ht="15.2">
      <c r="B12" s="246" t="s">
        <v>311</v>
      </c>
      <c r="C12" s="247" t="s">
        <v>239</v>
      </c>
      <c r="D12" s="247" t="s">
        <v>312</v>
      </c>
      <c r="E12" s="247" t="s">
        <v>313</v>
      </c>
      <c r="F12" s="247" t="s">
        <v>314</v>
      </c>
      <c r="G12" s="248" t="s">
        <v>243</v>
      </c>
    </row>
    <row r="13" spans="1:8">
      <c r="B13" s="150">
        <v>1</v>
      </c>
      <c r="C13" s="151" t="s">
        <v>331</v>
      </c>
      <c r="D13" s="151" t="s">
        <v>315</v>
      </c>
      <c r="E13" s="151">
        <v>840</v>
      </c>
      <c r="F13" s="151">
        <v>2.7719999999999998</v>
      </c>
      <c r="G13" s="152" t="s">
        <v>332</v>
      </c>
    </row>
    <row r="14" spans="1:8" ht="15.2">
      <c r="B14" s="147">
        <v>2</v>
      </c>
      <c r="C14" s="148" t="s">
        <v>333</v>
      </c>
      <c r="D14" s="148" t="s">
        <v>329</v>
      </c>
      <c r="E14" s="148">
        <v>1190.5</v>
      </c>
      <c r="F14" s="148">
        <v>5.9524999999999997</v>
      </c>
      <c r="G14" s="153" t="s">
        <v>334</v>
      </c>
    </row>
    <row r="16" spans="1:8" ht="15.2">
      <c r="B16" s="57"/>
      <c r="C16" s="249" t="s">
        <v>335</v>
      </c>
      <c r="D16" s="250" t="s">
        <v>336</v>
      </c>
    </row>
    <row r="17" spans="3:4">
      <c r="C17" s="154" t="s">
        <v>337</v>
      </c>
      <c r="D17" s="155">
        <v>840</v>
      </c>
    </row>
    <row r="18" spans="3:4">
      <c r="C18" s="156" t="s">
        <v>338</v>
      </c>
      <c r="D18" s="157">
        <v>1190.5</v>
      </c>
    </row>
    <row r="19" spans="3:4">
      <c r="C19" s="156" t="s">
        <v>339</v>
      </c>
      <c r="D19" s="157">
        <v>236.21</v>
      </c>
    </row>
    <row r="20" spans="3:4">
      <c r="C20" s="156" t="s">
        <v>340</v>
      </c>
      <c r="D20" s="157">
        <v>6.6138890000000004</v>
      </c>
    </row>
    <row r="21" spans="3:4" ht="29.1">
      <c r="C21" s="156" t="s">
        <v>341</v>
      </c>
      <c r="D21" s="157">
        <v>4.5220000000000002</v>
      </c>
    </row>
    <row r="22" spans="3:4">
      <c r="C22" s="156" t="s">
        <v>342</v>
      </c>
      <c r="D22" s="157">
        <v>1.4305000000000001</v>
      </c>
    </row>
    <row r="23" spans="3:4" ht="15.2">
      <c r="C23" s="158" t="s">
        <v>343</v>
      </c>
      <c r="D23" s="159">
        <v>0.661389</v>
      </c>
    </row>
    <row r="24" spans="3:4">
      <c r="C24" s="160"/>
      <c r="D24" s="161"/>
    </row>
  </sheetData>
  <hyperlinks>
    <hyperlink ref="A1" location="Index!A1" display="Back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3"/>
  <sheetViews>
    <sheetView workbookViewId="0">
      <pane ySplit="3" topLeftCell="A4" activePane="bottomLeft" state="frozen"/>
      <selection pane="bottomLeft"/>
    </sheetView>
  </sheetViews>
  <sheetFormatPr defaultColWidth="8.75" defaultRowHeight="12.95"/>
  <cols>
    <col min="1" max="1" width="5.375" style="65" customWidth="1"/>
    <col min="2" max="2" width="10.625" style="65" customWidth="1"/>
    <col min="3" max="3" width="18.5" style="65" customWidth="1"/>
    <col min="4" max="4" width="52.125" style="65" customWidth="1"/>
    <col min="5" max="5" width="14.875" style="65" customWidth="1"/>
    <col min="6" max="6" width="9.875" style="65" customWidth="1"/>
    <col min="7" max="7" width="37" style="65" customWidth="1"/>
    <col min="8" max="16384" width="8.75" style="65"/>
  </cols>
  <sheetData>
    <row r="1" spans="1:7" ht="15.2">
      <c r="A1" s="235" t="s">
        <v>20</v>
      </c>
      <c r="G1" s="66"/>
    </row>
    <row r="2" spans="1:7" ht="13.7">
      <c r="B2" s="374" t="s">
        <v>344</v>
      </c>
      <c r="C2" s="375"/>
      <c r="D2" s="375"/>
      <c r="E2" s="375"/>
      <c r="F2" s="376"/>
      <c r="G2" s="66"/>
    </row>
    <row r="3" spans="1:7" ht="13.7">
      <c r="B3" s="252" t="s">
        <v>345</v>
      </c>
      <c r="C3" s="252" t="s">
        <v>346</v>
      </c>
      <c r="D3" s="252" t="s">
        <v>347</v>
      </c>
      <c r="E3" s="253" t="s">
        <v>348</v>
      </c>
      <c r="F3" s="254" t="s">
        <v>349</v>
      </c>
      <c r="G3" s="66"/>
    </row>
    <row r="4" spans="1:7" ht="13.7">
      <c r="B4" s="255">
        <v>1</v>
      </c>
      <c r="C4" s="256" t="s">
        <v>350</v>
      </c>
      <c r="D4" s="257" t="s">
        <v>351</v>
      </c>
      <c r="E4" s="255" t="s">
        <v>292</v>
      </c>
      <c r="F4" s="258"/>
      <c r="G4" s="259" t="s">
        <v>352</v>
      </c>
    </row>
    <row r="5" spans="1:7">
      <c r="B5" s="67">
        <v>2</v>
      </c>
      <c r="C5" s="68" t="s">
        <v>353</v>
      </c>
      <c r="D5" s="69" t="s">
        <v>354</v>
      </c>
      <c r="E5" s="67"/>
      <c r="F5" s="70"/>
      <c r="G5" s="66"/>
    </row>
    <row r="6" spans="1:7">
      <c r="B6" s="71">
        <v>3</v>
      </c>
      <c r="C6" s="72" t="s">
        <v>355</v>
      </c>
      <c r="D6" s="69" t="s">
        <v>354</v>
      </c>
      <c r="E6" s="71"/>
      <c r="F6" s="73"/>
      <c r="G6" s="66"/>
    </row>
    <row r="7" spans="1:7">
      <c r="B7" s="71">
        <v>4</v>
      </c>
      <c r="C7" s="72" t="s">
        <v>356</v>
      </c>
      <c r="D7" s="69" t="s">
        <v>354</v>
      </c>
      <c r="E7" s="71"/>
      <c r="F7" s="73"/>
      <c r="G7" s="66"/>
    </row>
    <row r="8" spans="1:7">
      <c r="B8" s="71">
        <v>5</v>
      </c>
      <c r="C8" s="72" t="s">
        <v>357</v>
      </c>
      <c r="D8" s="69" t="s">
        <v>354</v>
      </c>
      <c r="E8" s="71"/>
      <c r="F8" s="73"/>
      <c r="G8" s="66"/>
    </row>
    <row r="9" spans="1:7" ht="13.7">
      <c r="B9" s="74">
        <v>6</v>
      </c>
      <c r="C9" s="75" t="s">
        <v>358</v>
      </c>
      <c r="D9" s="76" t="s">
        <v>359</v>
      </c>
      <c r="E9" s="74"/>
      <c r="F9" s="77"/>
      <c r="G9" s="66"/>
    </row>
    <row r="10" spans="1:7" ht="13.7">
      <c r="B10" s="260">
        <v>7</v>
      </c>
      <c r="C10" s="261" t="s">
        <v>360</v>
      </c>
      <c r="D10" s="262" t="s">
        <v>354</v>
      </c>
      <c r="E10" s="260"/>
      <c r="F10" s="263"/>
      <c r="G10" s="264" t="s">
        <v>361</v>
      </c>
    </row>
    <row r="11" spans="1:7">
      <c r="B11" s="265">
        <v>8</v>
      </c>
      <c r="C11" s="266" t="s">
        <v>362</v>
      </c>
      <c r="D11" s="267" t="s">
        <v>363</v>
      </c>
      <c r="E11" s="377" t="s">
        <v>364</v>
      </c>
      <c r="F11" s="78"/>
      <c r="G11" s="379" t="s">
        <v>364</v>
      </c>
    </row>
    <row r="12" spans="1:7" ht="13.7">
      <c r="B12" s="268">
        <v>9</v>
      </c>
      <c r="C12" s="269" t="s">
        <v>365</v>
      </c>
      <c r="D12" s="270" t="s">
        <v>363</v>
      </c>
      <c r="E12" s="378"/>
      <c r="F12" s="79"/>
      <c r="G12" s="380"/>
    </row>
    <row r="13" spans="1:7">
      <c r="B13" s="80">
        <v>10</v>
      </c>
      <c r="C13" s="81" t="s">
        <v>366</v>
      </c>
      <c r="D13" s="82" t="s">
        <v>367</v>
      </c>
      <c r="E13" s="80"/>
      <c r="F13" s="83" t="s">
        <v>367</v>
      </c>
      <c r="G13" s="66"/>
    </row>
    <row r="14" spans="1:7" ht="13.7">
      <c r="B14" s="84">
        <v>11</v>
      </c>
      <c r="C14" s="85" t="s">
        <v>368</v>
      </c>
      <c r="D14" s="86" t="s">
        <v>368</v>
      </c>
      <c r="E14" s="84"/>
      <c r="F14" s="87" t="s">
        <v>368</v>
      </c>
      <c r="G14" s="66"/>
    </row>
    <row r="15" spans="1:7">
      <c r="B15" s="265">
        <v>12</v>
      </c>
      <c r="C15" s="266" t="s">
        <v>369</v>
      </c>
      <c r="D15" s="267" t="s">
        <v>370</v>
      </c>
      <c r="E15" s="377" t="s">
        <v>364</v>
      </c>
      <c r="F15" s="78"/>
      <c r="G15" s="379" t="s">
        <v>364</v>
      </c>
    </row>
    <row r="16" spans="1:7" ht="13.7">
      <c r="B16" s="268">
        <v>13</v>
      </c>
      <c r="C16" s="269" t="s">
        <v>371</v>
      </c>
      <c r="D16" s="270" t="s">
        <v>370</v>
      </c>
      <c r="E16" s="378"/>
      <c r="F16" s="79"/>
      <c r="G16" s="380"/>
    </row>
    <row r="17" spans="2:7" ht="13.7">
      <c r="B17" s="271">
        <v>14</v>
      </c>
      <c r="C17" s="272" t="s">
        <v>372</v>
      </c>
      <c r="D17" s="273" t="s">
        <v>372</v>
      </c>
      <c r="E17" s="271" t="s">
        <v>372</v>
      </c>
      <c r="F17" s="274"/>
      <c r="G17" s="275" t="s">
        <v>373</v>
      </c>
    </row>
    <row r="18" spans="2:7">
      <c r="B18" s="67">
        <v>15</v>
      </c>
      <c r="C18" s="68" t="s">
        <v>374</v>
      </c>
      <c r="D18" s="69" t="s">
        <v>354</v>
      </c>
      <c r="E18" s="67"/>
      <c r="F18" s="70"/>
      <c r="G18" s="66"/>
    </row>
    <row r="19" spans="2:7">
      <c r="B19" s="71">
        <v>16</v>
      </c>
      <c r="C19" s="72" t="s">
        <v>375</v>
      </c>
      <c r="D19" s="69" t="s">
        <v>354</v>
      </c>
      <c r="E19" s="71"/>
      <c r="F19" s="73"/>
      <c r="G19" s="66"/>
    </row>
    <row r="20" spans="2:7">
      <c r="B20" s="71">
        <v>17</v>
      </c>
      <c r="C20" s="72" t="s">
        <v>376</v>
      </c>
      <c r="D20" s="69" t="s">
        <v>354</v>
      </c>
      <c r="E20" s="71"/>
      <c r="F20" s="73"/>
      <c r="G20" s="66"/>
    </row>
    <row r="21" spans="2:7">
      <c r="B21" s="71">
        <v>18</v>
      </c>
      <c r="C21" s="72" t="s">
        <v>377</v>
      </c>
      <c r="D21" s="69" t="s">
        <v>354</v>
      </c>
      <c r="E21" s="71"/>
      <c r="F21" s="73"/>
      <c r="G21" s="66"/>
    </row>
    <row r="22" spans="2:7">
      <c r="B22" s="88">
        <v>19</v>
      </c>
      <c r="C22" s="89" t="s">
        <v>378</v>
      </c>
      <c r="D22" s="90" t="s">
        <v>379</v>
      </c>
      <c r="E22" s="88" t="s">
        <v>379</v>
      </c>
      <c r="F22" s="91" t="s">
        <v>379</v>
      </c>
      <c r="G22" s="66"/>
    </row>
    <row r="23" spans="2:7">
      <c r="B23" s="88">
        <v>20</v>
      </c>
      <c r="C23" s="89" t="s">
        <v>380</v>
      </c>
      <c r="D23" s="90" t="s">
        <v>381</v>
      </c>
      <c r="E23" s="88" t="s">
        <v>382</v>
      </c>
      <c r="F23" s="91" t="s">
        <v>382</v>
      </c>
      <c r="G23" s="66"/>
    </row>
    <row r="24" spans="2:7" ht="13.7">
      <c r="B24" s="84">
        <v>21</v>
      </c>
      <c r="C24" s="85" t="s">
        <v>383</v>
      </c>
      <c r="D24" s="86" t="s">
        <v>384</v>
      </c>
      <c r="E24" s="84" t="s">
        <v>383</v>
      </c>
      <c r="F24" s="87" t="s">
        <v>383</v>
      </c>
      <c r="G24" s="66"/>
    </row>
    <row r="25" spans="2:7">
      <c r="B25" s="276">
        <v>22</v>
      </c>
      <c r="C25" s="277" t="s">
        <v>385</v>
      </c>
      <c r="D25" s="278" t="s">
        <v>354</v>
      </c>
      <c r="E25" s="276"/>
      <c r="F25" s="276"/>
      <c r="G25" s="279" t="s">
        <v>386</v>
      </c>
    </row>
    <row r="26" spans="2:7">
      <c r="B26" s="280">
        <v>23</v>
      </c>
      <c r="C26" s="281" t="s">
        <v>387</v>
      </c>
      <c r="D26" s="282" t="s">
        <v>354</v>
      </c>
      <c r="E26" s="280"/>
      <c r="F26" s="283"/>
      <c r="G26" s="284" t="s">
        <v>388</v>
      </c>
    </row>
    <row r="27" spans="2:7">
      <c r="B27" s="280">
        <v>24</v>
      </c>
      <c r="C27" s="281" t="s">
        <v>389</v>
      </c>
      <c r="D27" s="282" t="s">
        <v>354</v>
      </c>
      <c r="E27" s="280"/>
      <c r="F27" s="280"/>
      <c r="G27" s="285" t="s">
        <v>390</v>
      </c>
    </row>
    <row r="28" spans="2:7" ht="13.7">
      <c r="B28" s="286">
        <v>25</v>
      </c>
      <c r="C28" s="287" t="s">
        <v>391</v>
      </c>
      <c r="D28" s="288" t="s">
        <v>354</v>
      </c>
      <c r="E28" s="286"/>
      <c r="F28" s="289"/>
      <c r="G28" s="290" t="s">
        <v>392</v>
      </c>
    </row>
    <row r="29" spans="2:7">
      <c r="B29" s="80">
        <v>26</v>
      </c>
      <c r="C29" s="81" t="s">
        <v>366</v>
      </c>
      <c r="D29" s="82" t="s">
        <v>367</v>
      </c>
      <c r="E29" s="80"/>
      <c r="F29" s="83" t="s">
        <v>367</v>
      </c>
      <c r="G29" s="66"/>
    </row>
    <row r="30" spans="2:7">
      <c r="B30" s="88">
        <v>27</v>
      </c>
      <c r="C30" s="89" t="s">
        <v>368</v>
      </c>
      <c r="D30" s="90" t="s">
        <v>368</v>
      </c>
      <c r="E30" s="88"/>
      <c r="F30" s="91" t="s">
        <v>368</v>
      </c>
      <c r="G30" s="66"/>
    </row>
    <row r="31" spans="2:7">
      <c r="B31" s="92">
        <v>28</v>
      </c>
      <c r="C31" s="93" t="s">
        <v>393</v>
      </c>
      <c r="D31" s="94" t="s">
        <v>394</v>
      </c>
      <c r="E31" s="92"/>
      <c r="F31" s="73"/>
      <c r="G31" s="66"/>
    </row>
    <row r="32" spans="2:7">
      <c r="B32" s="92">
        <v>29</v>
      </c>
      <c r="C32" s="93" t="s">
        <v>395</v>
      </c>
      <c r="D32" s="94" t="s">
        <v>396</v>
      </c>
      <c r="E32" s="92"/>
      <c r="F32" s="73"/>
      <c r="G32" s="66"/>
    </row>
    <row r="33" spans="2:7">
      <c r="B33" s="92">
        <v>30</v>
      </c>
      <c r="C33" s="93" t="s">
        <v>397</v>
      </c>
      <c r="D33" s="94" t="s">
        <v>398</v>
      </c>
      <c r="E33" s="92"/>
      <c r="F33" s="73"/>
      <c r="G33" s="66"/>
    </row>
    <row r="34" spans="2:7" ht="13.7">
      <c r="B34" s="95">
        <v>31</v>
      </c>
      <c r="C34" s="96" t="s">
        <v>399</v>
      </c>
      <c r="D34" s="97" t="s">
        <v>400</v>
      </c>
      <c r="E34" s="95"/>
      <c r="F34" s="77"/>
      <c r="G34" s="66"/>
    </row>
    <row r="35" spans="2:7" ht="13.7">
      <c r="B35" s="98">
        <v>32</v>
      </c>
      <c r="C35" s="99" t="s">
        <v>401</v>
      </c>
      <c r="D35" s="100" t="s">
        <v>354</v>
      </c>
      <c r="E35" s="98"/>
      <c r="F35" s="101"/>
      <c r="G35" s="102" t="s">
        <v>402</v>
      </c>
    </row>
    <row r="36" spans="2:7" ht="13.7">
      <c r="B36" s="98">
        <v>33</v>
      </c>
      <c r="C36" s="99" t="s">
        <v>403</v>
      </c>
      <c r="D36" s="100" t="s">
        <v>354</v>
      </c>
      <c r="E36" s="98"/>
      <c r="F36" s="101"/>
      <c r="G36" s="102" t="s">
        <v>404</v>
      </c>
    </row>
    <row r="37" spans="2:7" ht="13.7">
      <c r="B37" s="98">
        <v>34</v>
      </c>
      <c r="C37" s="99" t="s">
        <v>405</v>
      </c>
      <c r="D37" s="100" t="s">
        <v>354</v>
      </c>
      <c r="E37" s="98"/>
      <c r="F37" s="101"/>
      <c r="G37" s="102" t="s">
        <v>406</v>
      </c>
    </row>
    <row r="38" spans="2:7" ht="13.7">
      <c r="B38" s="251">
        <v>35</v>
      </c>
      <c r="C38" s="103" t="s">
        <v>407</v>
      </c>
      <c r="D38" s="104" t="s">
        <v>408</v>
      </c>
      <c r="E38" s="251"/>
      <c r="F38" s="105"/>
      <c r="G38" s="106" t="s">
        <v>409</v>
      </c>
    </row>
    <row r="39" spans="2:7" ht="13.7">
      <c r="B39" s="255">
        <v>36</v>
      </c>
      <c r="C39" s="256" t="s">
        <v>410</v>
      </c>
      <c r="D39" s="257" t="s">
        <v>411</v>
      </c>
      <c r="E39" s="255" t="s">
        <v>292</v>
      </c>
      <c r="F39" s="258"/>
      <c r="G39" s="259" t="s">
        <v>352</v>
      </c>
    </row>
    <row r="40" spans="2:7">
      <c r="B40" s="67">
        <v>37</v>
      </c>
      <c r="C40" s="68" t="s">
        <v>412</v>
      </c>
      <c r="D40" s="69" t="s">
        <v>354</v>
      </c>
      <c r="E40" s="67"/>
      <c r="F40" s="70"/>
      <c r="G40" s="66"/>
    </row>
    <row r="41" spans="2:7">
      <c r="B41" s="71">
        <v>38</v>
      </c>
      <c r="C41" s="72" t="s">
        <v>413</v>
      </c>
      <c r="D41" s="69" t="s">
        <v>354</v>
      </c>
      <c r="E41" s="71"/>
      <c r="F41" s="73"/>
      <c r="G41" s="66"/>
    </row>
    <row r="42" spans="2:7">
      <c r="B42" s="71">
        <v>39</v>
      </c>
      <c r="C42" s="72" t="s">
        <v>414</v>
      </c>
      <c r="D42" s="69" t="s">
        <v>354</v>
      </c>
      <c r="E42" s="71"/>
      <c r="F42" s="73"/>
      <c r="G42" s="66"/>
    </row>
    <row r="43" spans="2:7" ht="13.7">
      <c r="B43" s="74">
        <v>40</v>
      </c>
      <c r="C43" s="75" t="s">
        <v>415</v>
      </c>
      <c r="D43" s="69" t="s">
        <v>354</v>
      </c>
      <c r="E43" s="74"/>
      <c r="F43" s="77"/>
      <c r="G43" s="66"/>
    </row>
    <row r="44" spans="2:7">
      <c r="B44" s="291">
        <v>41</v>
      </c>
      <c r="C44" s="292" t="s">
        <v>416</v>
      </c>
      <c r="D44" s="293" t="s">
        <v>417</v>
      </c>
      <c r="E44" s="291"/>
      <c r="F44" s="107"/>
      <c r="G44" s="364" t="s">
        <v>418</v>
      </c>
    </row>
    <row r="45" spans="2:7">
      <c r="B45" s="294">
        <v>42</v>
      </c>
      <c r="C45" s="295" t="s">
        <v>419</v>
      </c>
      <c r="D45" s="296" t="s">
        <v>420</v>
      </c>
      <c r="E45" s="294"/>
      <c r="F45" s="108"/>
      <c r="G45" s="365"/>
    </row>
    <row r="46" spans="2:7">
      <c r="B46" s="294">
        <v>43</v>
      </c>
      <c r="C46" s="295" t="s">
        <v>421</v>
      </c>
      <c r="D46" s="296" t="s">
        <v>422</v>
      </c>
      <c r="E46" s="294"/>
      <c r="F46" s="108"/>
      <c r="G46" s="365"/>
    </row>
    <row r="47" spans="2:7" ht="13.7">
      <c r="B47" s="297">
        <v>44</v>
      </c>
      <c r="C47" s="298" t="s">
        <v>423</v>
      </c>
      <c r="D47" s="299" t="s">
        <v>424</v>
      </c>
      <c r="E47" s="297"/>
      <c r="F47" s="109"/>
      <c r="G47" s="366"/>
    </row>
    <row r="48" spans="2:7" ht="13.7">
      <c r="B48" s="110">
        <v>45</v>
      </c>
      <c r="C48" s="111" t="s">
        <v>425</v>
      </c>
      <c r="D48" s="112" t="s">
        <v>354</v>
      </c>
      <c r="E48" s="110"/>
      <c r="F48" s="113"/>
      <c r="G48" s="66"/>
    </row>
    <row r="49" spans="2:7" ht="13.7">
      <c r="B49" s="255">
        <v>46</v>
      </c>
      <c r="C49" s="256" t="s">
        <v>426</v>
      </c>
      <c r="D49" s="257" t="s">
        <v>427</v>
      </c>
      <c r="E49" s="255" t="s">
        <v>292</v>
      </c>
      <c r="F49" s="258"/>
      <c r="G49" s="259" t="s">
        <v>352</v>
      </c>
    </row>
    <row r="50" spans="2:7">
      <c r="B50" s="67">
        <v>47</v>
      </c>
      <c r="C50" s="68" t="s">
        <v>428</v>
      </c>
      <c r="D50" s="69" t="s">
        <v>429</v>
      </c>
      <c r="E50" s="67"/>
      <c r="F50" s="70"/>
      <c r="G50" s="66"/>
    </row>
    <row r="51" spans="2:7">
      <c r="B51" s="114">
        <v>48</v>
      </c>
      <c r="C51" s="115" t="s">
        <v>430</v>
      </c>
      <c r="D51" s="116" t="s">
        <v>430</v>
      </c>
      <c r="E51" s="114" t="s">
        <v>430</v>
      </c>
      <c r="F51" s="73"/>
      <c r="G51" s="66"/>
    </row>
    <row r="52" spans="2:7">
      <c r="B52" s="88">
        <v>49</v>
      </c>
      <c r="C52" s="89" t="s">
        <v>366</v>
      </c>
      <c r="D52" s="90" t="s">
        <v>367</v>
      </c>
      <c r="E52" s="88"/>
      <c r="F52" s="91" t="s">
        <v>367</v>
      </c>
      <c r="G52" s="66"/>
    </row>
    <row r="53" spans="2:7" ht="13.7">
      <c r="B53" s="84">
        <v>50</v>
      </c>
      <c r="C53" s="85" t="s">
        <v>368</v>
      </c>
      <c r="D53" s="86" t="s">
        <v>368</v>
      </c>
      <c r="E53" s="84"/>
      <c r="F53" s="87" t="s">
        <v>368</v>
      </c>
      <c r="G53" s="66"/>
    </row>
    <row r="54" spans="2:7">
      <c r="B54" s="300">
        <v>51</v>
      </c>
      <c r="C54" s="301" t="s">
        <v>431</v>
      </c>
      <c r="D54" s="302" t="s">
        <v>432</v>
      </c>
      <c r="E54" s="300"/>
      <c r="F54" s="303"/>
      <c r="G54" s="367" t="s">
        <v>433</v>
      </c>
    </row>
    <row r="55" spans="2:7" ht="13.7">
      <c r="B55" s="304">
        <v>52</v>
      </c>
      <c r="C55" s="305" t="s">
        <v>434</v>
      </c>
      <c r="D55" s="306" t="s">
        <v>435</v>
      </c>
      <c r="E55" s="304"/>
      <c r="F55" s="307"/>
      <c r="G55" s="368"/>
    </row>
    <row r="56" spans="2:7">
      <c r="B56" s="67">
        <v>53</v>
      </c>
      <c r="C56" s="68" t="s">
        <v>436</v>
      </c>
      <c r="D56" s="69" t="s">
        <v>354</v>
      </c>
      <c r="E56" s="67"/>
      <c r="F56" s="70"/>
      <c r="G56" s="66"/>
    </row>
    <row r="57" spans="2:7">
      <c r="B57" s="71">
        <v>54</v>
      </c>
      <c r="C57" s="72" t="s">
        <v>437</v>
      </c>
      <c r="D57" s="69" t="s">
        <v>354</v>
      </c>
      <c r="E57" s="71"/>
      <c r="F57" s="73"/>
      <c r="G57" s="66"/>
    </row>
    <row r="58" spans="2:7">
      <c r="B58" s="71">
        <v>55</v>
      </c>
      <c r="C58" s="72" t="s">
        <v>438</v>
      </c>
      <c r="D58" s="69" t="s">
        <v>354</v>
      </c>
      <c r="E58" s="71"/>
      <c r="F58" s="73"/>
      <c r="G58" s="66"/>
    </row>
    <row r="59" spans="2:7">
      <c r="B59" s="71">
        <v>56</v>
      </c>
      <c r="C59" s="72" t="s">
        <v>439</v>
      </c>
      <c r="D59" s="69" t="s">
        <v>354</v>
      </c>
      <c r="E59" s="71"/>
      <c r="F59" s="73"/>
      <c r="G59" s="66"/>
    </row>
    <row r="60" spans="2:7" ht="13.7">
      <c r="B60" s="74">
        <v>57</v>
      </c>
      <c r="C60" s="75" t="s">
        <v>440</v>
      </c>
      <c r="D60" s="69" t="s">
        <v>354</v>
      </c>
      <c r="E60" s="74"/>
      <c r="F60" s="77"/>
      <c r="G60" s="66"/>
    </row>
    <row r="61" spans="2:7">
      <c r="B61" s="308">
        <v>58</v>
      </c>
      <c r="C61" s="309" t="s">
        <v>441</v>
      </c>
      <c r="D61" s="310" t="s">
        <v>442</v>
      </c>
      <c r="E61" s="308"/>
      <c r="F61" s="311"/>
      <c r="G61" s="369" t="s">
        <v>352</v>
      </c>
    </row>
    <row r="62" spans="2:7">
      <c r="B62" s="312">
        <v>59</v>
      </c>
      <c r="C62" s="313" t="s">
        <v>443</v>
      </c>
      <c r="D62" s="314" t="s">
        <v>444</v>
      </c>
      <c r="E62" s="312"/>
      <c r="F62" s="315"/>
      <c r="G62" s="370"/>
    </row>
    <row r="63" spans="2:7" ht="13.7">
      <c r="B63" s="316">
        <v>60</v>
      </c>
      <c r="C63" s="317" t="s">
        <v>445</v>
      </c>
      <c r="D63" s="318" t="s">
        <v>446</v>
      </c>
      <c r="E63" s="316"/>
      <c r="F63" s="319"/>
      <c r="G63" s="371"/>
    </row>
    <row r="64" spans="2:7">
      <c r="B64" s="67">
        <v>61</v>
      </c>
      <c r="C64" s="68" t="s">
        <v>447</v>
      </c>
      <c r="D64" s="69" t="s">
        <v>354</v>
      </c>
      <c r="E64" s="67"/>
      <c r="F64" s="70"/>
      <c r="G64" s="66"/>
    </row>
    <row r="65" spans="2:7">
      <c r="B65" s="71">
        <v>62</v>
      </c>
      <c r="C65" s="72" t="s">
        <v>448</v>
      </c>
      <c r="D65" s="117" t="s">
        <v>354</v>
      </c>
      <c r="E65" s="71"/>
      <c r="F65" s="73"/>
      <c r="G65" s="66"/>
    </row>
    <row r="66" spans="2:7">
      <c r="B66" s="71">
        <v>63</v>
      </c>
      <c r="C66" s="72" t="s">
        <v>449</v>
      </c>
      <c r="D66" s="117" t="s">
        <v>354</v>
      </c>
      <c r="E66" s="71"/>
      <c r="F66" s="73"/>
      <c r="G66" s="66"/>
    </row>
    <row r="67" spans="2:7">
      <c r="B67" s="71">
        <v>64</v>
      </c>
      <c r="C67" s="72" t="s">
        <v>450</v>
      </c>
      <c r="D67" s="117" t="s">
        <v>354</v>
      </c>
      <c r="E67" s="71"/>
      <c r="F67" s="73"/>
      <c r="G67" s="66"/>
    </row>
    <row r="68" spans="2:7">
      <c r="B68" s="71">
        <v>65</v>
      </c>
      <c r="C68" s="72" t="s">
        <v>451</v>
      </c>
      <c r="D68" s="117" t="s">
        <v>354</v>
      </c>
      <c r="E68" s="71"/>
      <c r="F68" s="73"/>
      <c r="G68" s="66"/>
    </row>
    <row r="69" spans="2:7">
      <c r="B69" s="71">
        <v>66</v>
      </c>
      <c r="C69" s="72" t="s">
        <v>452</v>
      </c>
      <c r="D69" s="117" t="s">
        <v>354</v>
      </c>
      <c r="E69" s="71"/>
      <c r="F69" s="73"/>
      <c r="G69" s="66"/>
    </row>
    <row r="70" spans="2:7" ht="13.7">
      <c r="B70" s="74">
        <v>67</v>
      </c>
      <c r="C70" s="75" t="s">
        <v>453</v>
      </c>
      <c r="D70" s="117" t="s">
        <v>354</v>
      </c>
      <c r="E70" s="74"/>
      <c r="F70" s="77"/>
      <c r="G70" s="66"/>
    </row>
    <row r="71" spans="2:7">
      <c r="B71" s="118">
        <v>68</v>
      </c>
      <c r="C71" s="119" t="s">
        <v>454</v>
      </c>
      <c r="D71" s="120" t="s">
        <v>455</v>
      </c>
      <c r="E71" s="118"/>
      <c r="F71" s="121"/>
      <c r="G71" s="372" t="s">
        <v>456</v>
      </c>
    </row>
    <row r="72" spans="2:7" ht="13.7">
      <c r="B72" s="122">
        <v>69</v>
      </c>
      <c r="C72" s="123" t="s">
        <v>457</v>
      </c>
      <c r="D72" s="124" t="s">
        <v>458</v>
      </c>
      <c r="E72" s="122"/>
      <c r="F72" s="125"/>
      <c r="G72" s="373"/>
    </row>
    <row r="73" spans="2:7">
      <c r="B73" s="67">
        <v>70</v>
      </c>
      <c r="C73" s="68" t="s">
        <v>459</v>
      </c>
      <c r="D73" s="69" t="s">
        <v>354</v>
      </c>
      <c r="E73" s="67"/>
      <c r="F73" s="70"/>
      <c r="G73" s="66"/>
    </row>
    <row r="74" spans="2:7" ht="13.7">
      <c r="B74" s="74">
        <v>71</v>
      </c>
      <c r="C74" s="75" t="s">
        <v>460</v>
      </c>
      <c r="D74" s="76" t="s">
        <v>354</v>
      </c>
      <c r="E74" s="74"/>
      <c r="F74" s="77"/>
      <c r="G74" s="66"/>
    </row>
    <row r="75" spans="2:7" ht="13.7">
      <c r="B75" s="126">
        <v>72</v>
      </c>
      <c r="C75" s="127" t="s">
        <v>461</v>
      </c>
      <c r="D75" s="128" t="s">
        <v>462</v>
      </c>
      <c r="E75" s="126"/>
      <c r="F75" s="129"/>
      <c r="G75" s="130" t="s">
        <v>463</v>
      </c>
    </row>
    <row r="76" spans="2:7">
      <c r="B76" s="131">
        <v>73</v>
      </c>
      <c r="C76" s="132" t="s">
        <v>430</v>
      </c>
      <c r="D76" s="133" t="s">
        <v>430</v>
      </c>
      <c r="E76" s="131" t="s">
        <v>430</v>
      </c>
      <c r="F76" s="70"/>
      <c r="G76" s="66"/>
    </row>
    <row r="77" spans="2:7">
      <c r="B77" s="88">
        <v>74</v>
      </c>
      <c r="C77" s="89" t="s">
        <v>366</v>
      </c>
      <c r="D77" s="90" t="s">
        <v>367</v>
      </c>
      <c r="E77" s="88"/>
      <c r="F77" s="91" t="s">
        <v>367</v>
      </c>
      <c r="G77" s="66"/>
    </row>
    <row r="78" spans="2:7" ht="13.7">
      <c r="B78" s="84">
        <v>75</v>
      </c>
      <c r="C78" s="85" t="s">
        <v>368</v>
      </c>
      <c r="D78" s="86" t="s">
        <v>368</v>
      </c>
      <c r="E78" s="84"/>
      <c r="F78" s="87" t="s">
        <v>368</v>
      </c>
      <c r="G78" s="66"/>
    </row>
    <row r="79" spans="2:7" ht="13.7">
      <c r="B79" s="126">
        <v>76</v>
      </c>
      <c r="C79" s="127" t="s">
        <v>464</v>
      </c>
      <c r="D79" s="128" t="s">
        <v>465</v>
      </c>
      <c r="E79" s="126"/>
      <c r="F79" s="129"/>
      <c r="G79" s="130" t="s">
        <v>466</v>
      </c>
    </row>
    <row r="80" spans="2:7">
      <c r="B80" s="67">
        <v>77</v>
      </c>
      <c r="C80" s="68" t="s">
        <v>467</v>
      </c>
      <c r="D80" s="69" t="s">
        <v>354</v>
      </c>
      <c r="E80" s="67"/>
      <c r="F80" s="70"/>
      <c r="G80" s="66"/>
    </row>
    <row r="81" spans="2:7">
      <c r="B81" s="71">
        <v>78</v>
      </c>
      <c r="C81" s="72" t="s">
        <v>468</v>
      </c>
      <c r="D81" s="69" t="s">
        <v>354</v>
      </c>
      <c r="E81" s="71"/>
      <c r="F81" s="73"/>
      <c r="G81" s="66"/>
    </row>
    <row r="82" spans="2:7">
      <c r="B82" s="71">
        <v>79</v>
      </c>
      <c r="C82" s="72" t="s">
        <v>469</v>
      </c>
      <c r="D82" s="69" t="s">
        <v>354</v>
      </c>
      <c r="E82" s="71"/>
      <c r="F82" s="73"/>
      <c r="G82" s="66"/>
    </row>
    <row r="83" spans="2:7" ht="13.7">
      <c r="B83" s="74">
        <v>80</v>
      </c>
      <c r="C83" s="75" t="s">
        <v>470</v>
      </c>
      <c r="D83" s="69" t="s">
        <v>354</v>
      </c>
      <c r="E83" s="74"/>
      <c r="F83" s="77"/>
      <c r="G83" s="66"/>
    </row>
    <row r="84" spans="2:7">
      <c r="B84" s="320">
        <v>81</v>
      </c>
      <c r="C84" s="321" t="s">
        <v>471</v>
      </c>
      <c r="D84" s="322" t="s">
        <v>354</v>
      </c>
      <c r="E84" s="323"/>
      <c r="F84" s="323"/>
      <c r="G84" s="279" t="s">
        <v>472</v>
      </c>
    </row>
    <row r="85" spans="2:7">
      <c r="B85" s="324">
        <v>82</v>
      </c>
      <c r="C85" s="325" t="s">
        <v>473</v>
      </c>
      <c r="D85" s="326" t="s">
        <v>354</v>
      </c>
      <c r="E85" s="327"/>
      <c r="F85" s="327"/>
      <c r="G85" s="285" t="s">
        <v>474</v>
      </c>
    </row>
    <row r="86" spans="2:7">
      <c r="B86" s="324">
        <v>83</v>
      </c>
      <c r="C86" s="325" t="s">
        <v>475</v>
      </c>
      <c r="D86" s="326" t="s">
        <v>354</v>
      </c>
      <c r="E86" s="327"/>
      <c r="F86" s="327"/>
      <c r="G86" s="285" t="s">
        <v>476</v>
      </c>
    </row>
    <row r="87" spans="2:7">
      <c r="B87" s="324">
        <v>84</v>
      </c>
      <c r="C87" s="325" t="s">
        <v>477</v>
      </c>
      <c r="D87" s="326" t="s">
        <v>354</v>
      </c>
      <c r="E87" s="327"/>
      <c r="F87" s="327"/>
      <c r="G87" s="285" t="s">
        <v>478</v>
      </c>
    </row>
    <row r="88" spans="2:7" ht="13.7">
      <c r="B88" s="328">
        <v>85</v>
      </c>
      <c r="C88" s="329" t="s">
        <v>479</v>
      </c>
      <c r="D88" s="330" t="s">
        <v>354</v>
      </c>
      <c r="E88" s="331"/>
      <c r="F88" s="331"/>
      <c r="G88" s="332" t="s">
        <v>480</v>
      </c>
    </row>
    <row r="89" spans="2:7">
      <c r="B89" s="67">
        <v>86</v>
      </c>
      <c r="C89" s="68" t="s">
        <v>481</v>
      </c>
      <c r="D89" s="69" t="s">
        <v>354</v>
      </c>
      <c r="E89" s="67"/>
      <c r="F89" s="70"/>
      <c r="G89" s="66"/>
    </row>
    <row r="90" spans="2:7">
      <c r="B90" s="71">
        <v>87</v>
      </c>
      <c r="C90" s="72" t="s">
        <v>482</v>
      </c>
      <c r="D90" s="117" t="s">
        <v>354</v>
      </c>
      <c r="E90" s="71"/>
      <c r="F90" s="73"/>
      <c r="G90" s="66"/>
    </row>
    <row r="91" spans="2:7">
      <c r="B91" s="71">
        <v>88</v>
      </c>
      <c r="C91" s="72" t="s">
        <v>483</v>
      </c>
      <c r="D91" s="117" t="s">
        <v>354</v>
      </c>
      <c r="E91" s="71"/>
      <c r="F91" s="73"/>
      <c r="G91" s="66"/>
    </row>
    <row r="92" spans="2:7">
      <c r="B92" s="71">
        <v>89</v>
      </c>
      <c r="C92" s="72" t="s">
        <v>484</v>
      </c>
      <c r="D92" s="117" t="s">
        <v>354</v>
      </c>
      <c r="E92" s="71"/>
      <c r="F92" s="73"/>
      <c r="G92" s="66"/>
    </row>
    <row r="93" spans="2:7">
      <c r="B93" s="71">
        <v>90</v>
      </c>
      <c r="C93" s="72" t="s">
        <v>485</v>
      </c>
      <c r="D93" s="117" t="s">
        <v>354</v>
      </c>
      <c r="E93" s="71"/>
      <c r="F93" s="73"/>
      <c r="G93" s="66"/>
    </row>
    <row r="94" spans="2:7">
      <c r="B94" s="71">
        <v>91</v>
      </c>
      <c r="C94" s="72" t="s">
        <v>486</v>
      </c>
      <c r="D94" s="117" t="s">
        <v>354</v>
      </c>
      <c r="E94" s="71"/>
      <c r="F94" s="73"/>
      <c r="G94" s="66"/>
    </row>
    <row r="95" spans="2:7">
      <c r="B95" s="71">
        <v>92</v>
      </c>
      <c r="C95" s="72" t="s">
        <v>487</v>
      </c>
      <c r="D95" s="117" t="s">
        <v>354</v>
      </c>
      <c r="E95" s="71"/>
      <c r="F95" s="73"/>
      <c r="G95" s="66"/>
    </row>
    <row r="96" spans="2:7">
      <c r="B96" s="71">
        <v>93</v>
      </c>
      <c r="C96" s="72" t="s">
        <v>488</v>
      </c>
      <c r="D96" s="117" t="s">
        <v>354</v>
      </c>
      <c r="E96" s="71"/>
      <c r="F96" s="73"/>
      <c r="G96" s="66"/>
    </row>
    <row r="97" spans="2:7">
      <c r="B97" s="114">
        <v>94</v>
      </c>
      <c r="C97" s="115" t="s">
        <v>489</v>
      </c>
      <c r="D97" s="116"/>
      <c r="E97" s="114" t="s">
        <v>489</v>
      </c>
      <c r="F97" s="73"/>
      <c r="G97" s="66"/>
    </row>
    <row r="98" spans="2:7">
      <c r="B98" s="71">
        <v>95</v>
      </c>
      <c r="C98" s="72" t="s">
        <v>490</v>
      </c>
      <c r="D98" s="117" t="s">
        <v>354</v>
      </c>
      <c r="E98" s="71"/>
      <c r="F98" s="73"/>
      <c r="G98" s="66"/>
    </row>
    <row r="99" spans="2:7">
      <c r="B99" s="71">
        <v>96</v>
      </c>
      <c r="C99" s="72" t="s">
        <v>491</v>
      </c>
      <c r="D99" s="117" t="s">
        <v>354</v>
      </c>
      <c r="E99" s="71"/>
      <c r="F99" s="73"/>
      <c r="G99" s="66"/>
    </row>
    <row r="100" spans="2:7">
      <c r="B100" s="71">
        <v>97</v>
      </c>
      <c r="C100" s="72" t="s">
        <v>492</v>
      </c>
      <c r="D100" s="117" t="s">
        <v>354</v>
      </c>
      <c r="E100" s="71"/>
      <c r="F100" s="73"/>
      <c r="G100" s="66"/>
    </row>
    <row r="101" spans="2:7">
      <c r="B101" s="71">
        <v>98</v>
      </c>
      <c r="C101" s="72" t="s">
        <v>493</v>
      </c>
      <c r="D101" s="117" t="s">
        <v>354</v>
      </c>
      <c r="E101" s="71"/>
      <c r="F101" s="73"/>
      <c r="G101" s="66"/>
    </row>
    <row r="102" spans="2:7">
      <c r="B102" s="88">
        <v>99</v>
      </c>
      <c r="C102" s="89" t="s">
        <v>366</v>
      </c>
      <c r="D102" s="90" t="s">
        <v>367</v>
      </c>
      <c r="E102" s="88"/>
      <c r="F102" s="91" t="s">
        <v>367</v>
      </c>
      <c r="G102" s="66"/>
    </row>
    <row r="103" spans="2:7" ht="13.7">
      <c r="B103" s="134">
        <v>100</v>
      </c>
      <c r="C103" s="135" t="s">
        <v>368</v>
      </c>
      <c r="D103" s="136" t="s">
        <v>368</v>
      </c>
      <c r="E103" s="134"/>
      <c r="F103" s="137" t="s">
        <v>368</v>
      </c>
      <c r="G103" s="66"/>
    </row>
  </sheetData>
  <mergeCells count="9">
    <mergeCell ref="G44:G47"/>
    <mergeCell ref="G54:G55"/>
    <mergeCell ref="G61:G63"/>
    <mergeCell ref="G71:G72"/>
    <mergeCell ref="B2:F2"/>
    <mergeCell ref="E11:E12"/>
    <mergeCell ref="E15:E16"/>
    <mergeCell ref="G11:G12"/>
    <mergeCell ref="G15:G16"/>
  </mergeCells>
  <hyperlinks>
    <hyperlink ref="A1" location="Index!A1" display="Back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workbookViewId="0">
      <pane ySplit="2" topLeftCell="A3" activePane="bottomLeft" state="frozen"/>
      <selection pane="bottomLeft"/>
    </sheetView>
  </sheetViews>
  <sheetFormatPr defaultColWidth="9" defaultRowHeight="12.6"/>
  <cols>
    <col min="1" max="1" width="6.5" style="62" customWidth="1"/>
    <col min="2" max="2" width="7.375" style="61" customWidth="1"/>
    <col min="3" max="3" width="13.5" style="61" customWidth="1"/>
    <col min="4" max="4" width="21.75" style="62" customWidth="1"/>
    <col min="5" max="5" width="21.375" style="62" customWidth="1"/>
    <col min="6" max="6" width="25.75" style="61" customWidth="1"/>
    <col min="7" max="7" width="26.125" style="62" customWidth="1"/>
    <col min="8" max="8" width="17.75" style="62" customWidth="1"/>
    <col min="9" max="9" width="19.5" style="62" customWidth="1"/>
    <col min="10" max="10" width="48.5" style="62" customWidth="1"/>
    <col min="11" max="11" width="16.5" style="62" customWidth="1"/>
    <col min="12" max="16384" width="9" style="62"/>
  </cols>
  <sheetData>
    <row r="1" spans="1:11" ht="15.95" customHeight="1">
      <c r="A1" s="235" t="s">
        <v>20</v>
      </c>
    </row>
    <row r="2" spans="1:11" s="61" customFormat="1" ht="24.95" customHeight="1">
      <c r="B2" s="333" t="s">
        <v>237</v>
      </c>
      <c r="C2" s="333" t="s">
        <v>238</v>
      </c>
      <c r="D2" s="333" t="s">
        <v>494</v>
      </c>
      <c r="E2" s="333" t="s">
        <v>495</v>
      </c>
      <c r="F2" s="333" t="s">
        <v>496</v>
      </c>
      <c r="G2" s="333" t="s">
        <v>497</v>
      </c>
      <c r="H2" s="333" t="s">
        <v>498</v>
      </c>
      <c r="I2" s="333" t="s">
        <v>499</v>
      </c>
      <c r="J2" s="333" t="s">
        <v>500</v>
      </c>
      <c r="K2" s="333" t="s">
        <v>501</v>
      </c>
    </row>
    <row r="3" spans="1:11">
      <c r="B3" s="63">
        <v>1</v>
      </c>
      <c r="C3" s="63" t="s">
        <v>246</v>
      </c>
      <c r="D3" s="64" t="s">
        <v>248</v>
      </c>
      <c r="E3" s="64" t="s">
        <v>502</v>
      </c>
      <c r="F3" s="63" t="s">
        <v>503</v>
      </c>
      <c r="G3" s="63" t="s">
        <v>503</v>
      </c>
      <c r="H3" s="63" t="s">
        <v>504</v>
      </c>
      <c r="I3" s="63" t="s">
        <v>504</v>
      </c>
      <c r="J3" s="64" t="s">
        <v>505</v>
      </c>
      <c r="K3" s="64"/>
    </row>
    <row r="4" spans="1:11">
      <c r="B4" s="63">
        <v>2</v>
      </c>
      <c r="C4" s="63" t="s">
        <v>262</v>
      </c>
      <c r="D4" s="64" t="s">
        <v>263</v>
      </c>
      <c r="E4" s="64" t="s">
        <v>506</v>
      </c>
      <c r="F4" s="63" t="s">
        <v>503</v>
      </c>
      <c r="G4" s="63" t="s">
        <v>503</v>
      </c>
      <c r="H4" s="63" t="s">
        <v>504</v>
      </c>
      <c r="I4" s="63" t="s">
        <v>504</v>
      </c>
      <c r="J4" s="64" t="s">
        <v>507</v>
      </c>
      <c r="K4" s="64"/>
    </row>
    <row r="5" spans="1:11">
      <c r="B5" s="63">
        <v>3</v>
      </c>
      <c r="C5" s="63" t="s">
        <v>269</v>
      </c>
      <c r="D5" s="64" t="s">
        <v>270</v>
      </c>
      <c r="E5" s="64" t="s">
        <v>508</v>
      </c>
      <c r="F5" s="63" t="s">
        <v>503</v>
      </c>
      <c r="G5" s="63" t="s">
        <v>503</v>
      </c>
      <c r="H5" s="63" t="s">
        <v>504</v>
      </c>
      <c r="I5" s="63" t="s">
        <v>504</v>
      </c>
      <c r="J5" s="64" t="s">
        <v>509</v>
      </c>
      <c r="K5" s="64"/>
    </row>
    <row r="6" spans="1:11">
      <c r="B6" s="63">
        <v>4</v>
      </c>
      <c r="C6" s="63" t="s">
        <v>275</v>
      </c>
      <c r="D6" s="64" t="s">
        <v>276</v>
      </c>
      <c r="E6" s="64" t="s">
        <v>510</v>
      </c>
      <c r="F6" s="63" t="s">
        <v>503</v>
      </c>
      <c r="G6" s="63" t="s">
        <v>503</v>
      </c>
      <c r="H6" s="63" t="s">
        <v>504</v>
      </c>
      <c r="I6" s="63" t="s">
        <v>504</v>
      </c>
      <c r="J6" s="64" t="s">
        <v>511</v>
      </c>
      <c r="K6" s="64"/>
    </row>
    <row r="7" spans="1:11">
      <c r="B7" s="63">
        <v>5</v>
      </c>
      <c r="C7" s="63" t="s">
        <v>282</v>
      </c>
      <c r="D7" s="64" t="s">
        <v>283</v>
      </c>
      <c r="E7" s="64" t="s">
        <v>512</v>
      </c>
      <c r="F7" s="63" t="s">
        <v>503</v>
      </c>
      <c r="G7" s="63" t="s">
        <v>503</v>
      </c>
      <c r="H7" s="63" t="s">
        <v>504</v>
      </c>
      <c r="I7" s="63" t="s">
        <v>504</v>
      </c>
      <c r="J7" s="64" t="s">
        <v>513</v>
      </c>
      <c r="K7" s="64"/>
    </row>
    <row r="8" spans="1:11">
      <c r="B8" s="63">
        <v>6</v>
      </c>
      <c r="C8" s="63" t="s">
        <v>288</v>
      </c>
      <c r="D8" s="64" t="s">
        <v>289</v>
      </c>
      <c r="E8" s="64" t="s">
        <v>514</v>
      </c>
      <c r="F8" s="63" t="s">
        <v>503</v>
      </c>
      <c r="G8" s="63" t="s">
        <v>503</v>
      </c>
      <c r="H8" s="63" t="s">
        <v>504</v>
      </c>
      <c r="I8" s="63" t="s">
        <v>504</v>
      </c>
      <c r="J8" s="64" t="s">
        <v>515</v>
      </c>
      <c r="K8" s="64"/>
    </row>
    <row r="9" spans="1:11">
      <c r="B9" s="63">
        <v>7</v>
      </c>
      <c r="C9" s="63" t="s">
        <v>295</v>
      </c>
      <c r="D9" s="64" t="s">
        <v>296</v>
      </c>
      <c r="E9" s="64" t="s">
        <v>516</v>
      </c>
      <c r="F9" s="63" t="s">
        <v>503</v>
      </c>
      <c r="G9" s="63" t="s">
        <v>503</v>
      </c>
      <c r="H9" s="63" t="s">
        <v>504</v>
      </c>
      <c r="I9" s="63" t="s">
        <v>504</v>
      </c>
      <c r="J9" s="64" t="s">
        <v>517</v>
      </c>
      <c r="K9" s="64"/>
    </row>
    <row r="10" spans="1:11">
      <c r="B10" s="63">
        <v>8</v>
      </c>
      <c r="C10" s="63" t="s">
        <v>300</v>
      </c>
      <c r="D10" s="64" t="s">
        <v>163</v>
      </c>
      <c r="E10" s="64" t="s">
        <v>518</v>
      </c>
      <c r="F10" s="63" t="s">
        <v>503</v>
      </c>
      <c r="G10" s="63" t="s">
        <v>504</v>
      </c>
      <c r="H10" s="63" t="s">
        <v>504</v>
      </c>
      <c r="I10" s="63" t="s">
        <v>504</v>
      </c>
      <c r="J10" s="64" t="s">
        <v>519</v>
      </c>
      <c r="K10" s="64"/>
    </row>
  </sheetData>
  <conditionalFormatting sqref="F3:F10">
    <cfRule type="cellIs" dxfId="19" priority="25" operator="equal">
      <formula>"DONE"</formula>
    </cfRule>
    <cfRule type="containsText" dxfId="18" priority="24" operator="containsText" text="DONE">
      <formula>NOT(ISERROR(SEARCH("DONE",F3)))</formula>
    </cfRule>
    <cfRule type="containsText" dxfId="17" priority="23" operator="containsText" text="IN PROGRESS">
      <formula>NOT(ISERROR(SEARCH("IN PROGRESS",F3)))</formula>
    </cfRule>
    <cfRule type="containsText" dxfId="16" priority="22" operator="containsText" text="NOT STARTED">
      <formula>NOT(ISERROR(SEARCH("NOT STARTED",F3)))</formula>
    </cfRule>
    <cfRule type="containsText" dxfId="15" priority="21" operator="containsText" text="NEED REVIEW">
      <formula>NOT(ISERROR(SEARCH("NEED REVIEW",F3)))</formula>
    </cfRule>
  </conditionalFormatting>
  <conditionalFormatting sqref="G3:G10">
    <cfRule type="cellIs" dxfId="14" priority="10" operator="equal">
      <formula>"DONE"</formula>
    </cfRule>
    <cfRule type="containsText" dxfId="13" priority="9" operator="containsText" text="DONE">
      <formula>NOT(ISERROR(SEARCH("DONE",G3)))</formula>
    </cfRule>
    <cfRule type="containsText" dxfId="12" priority="8" operator="containsText" text="IN PROGRESS">
      <formula>NOT(ISERROR(SEARCH("IN PROGRESS",G3)))</formula>
    </cfRule>
    <cfRule type="containsText" dxfId="11" priority="7" operator="containsText" text="NOT STARTED">
      <formula>NOT(ISERROR(SEARCH("NOT STARTED",G3)))</formula>
    </cfRule>
    <cfRule type="containsText" dxfId="10" priority="6" operator="containsText" text="NEED REVIEW">
      <formula>NOT(ISERROR(SEARCH("NEED REVIEW",G3)))</formula>
    </cfRule>
  </conditionalFormatting>
  <conditionalFormatting sqref="H3:H10">
    <cfRule type="cellIs" dxfId="9" priority="5" operator="equal">
      <formula>"DONE"</formula>
    </cfRule>
    <cfRule type="containsText" dxfId="8" priority="4" operator="containsText" text="DONE">
      <formula>NOT(ISERROR(SEARCH("DONE",H3)))</formula>
    </cfRule>
    <cfRule type="containsText" dxfId="7" priority="3" operator="containsText" text="IN PROGRESS">
      <formula>NOT(ISERROR(SEARCH("IN PROGRESS",H3)))</formula>
    </cfRule>
    <cfRule type="containsText" dxfId="6" priority="2" operator="containsText" text="NOT STARTED">
      <formula>NOT(ISERROR(SEARCH("NOT STARTED",H3)))</formula>
    </cfRule>
    <cfRule type="containsText" dxfId="5" priority="1" operator="containsText" text="NEED REVIEW">
      <formula>NOT(ISERROR(SEARCH("NEED REVIEW",H3)))</formula>
    </cfRule>
  </conditionalFormatting>
  <conditionalFormatting sqref="I3:I10">
    <cfRule type="cellIs" dxfId="4" priority="15" operator="equal">
      <formula>"DONE"</formula>
    </cfRule>
    <cfRule type="containsText" dxfId="3" priority="14" operator="containsText" text="DONE">
      <formula>NOT(ISERROR(SEARCH("DONE",I3)))</formula>
    </cfRule>
    <cfRule type="containsText" dxfId="2" priority="13" operator="containsText" text="IN PROGRESS">
      <formula>NOT(ISERROR(SEARCH("IN PROGRESS",I3)))</formula>
    </cfRule>
    <cfRule type="containsText" dxfId="1" priority="12" operator="containsText" text="NOT STARTED">
      <formula>NOT(ISERROR(SEARCH("NOT STARTED",I3)))</formula>
    </cfRule>
    <cfRule type="containsText" dxfId="0" priority="11" operator="containsText" text="NEED REVIEW">
      <formula>NOT(ISERROR(SEARCH("NEED REVIEW",I3)))</formula>
    </cfRule>
  </conditionalFormatting>
  <dataValidations count="1">
    <dataValidation type="list" allowBlank="1" showInputMessage="1" showErrorMessage="1" sqref="G3:I3 F3:F10 G4:I10" xr:uid="{00000000-0002-0000-0800-000000000000}">
      <formula1>"DONE, IN PROGRESS, NOT STARTED, NEED REVIEW"</formula1>
    </dataValidation>
  </dataValidations>
  <hyperlinks>
    <hyperlink ref="A1" location="Index!A1" display="Back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pane ySplit="2" topLeftCell="A3" activePane="bottomLeft" state="frozen"/>
      <selection pane="bottomLeft"/>
    </sheetView>
  </sheetViews>
  <sheetFormatPr defaultColWidth="8.75" defaultRowHeight="14.45"/>
  <cols>
    <col min="2" max="2" width="7.375" customWidth="1"/>
    <col min="3" max="3" width="29.125" customWidth="1"/>
    <col min="4" max="4" width="21.75" style="57" customWidth="1"/>
    <col min="5" max="5" width="21.375" style="57" customWidth="1"/>
    <col min="6" max="6" width="25.75" style="57" customWidth="1"/>
    <col min="7" max="7" width="26.125" style="57" customWidth="1"/>
  </cols>
  <sheetData>
    <row r="1" spans="1:7">
      <c r="A1" s="235" t="s">
        <v>20</v>
      </c>
    </row>
    <row r="2" spans="1:7">
      <c r="B2" s="333" t="s">
        <v>237</v>
      </c>
      <c r="C2" s="333" t="s">
        <v>520</v>
      </c>
      <c r="D2" s="333" t="s">
        <v>521</v>
      </c>
      <c r="E2" s="333" t="s">
        <v>522</v>
      </c>
      <c r="F2" s="333" t="s">
        <v>523</v>
      </c>
      <c r="G2" s="333" t="s">
        <v>16</v>
      </c>
    </row>
    <row r="3" spans="1:7">
      <c r="B3" s="58">
        <v>1</v>
      </c>
      <c r="C3" s="59" t="s">
        <v>524</v>
      </c>
      <c r="D3" s="58" t="s">
        <v>525</v>
      </c>
      <c r="E3" s="58" t="s">
        <v>526</v>
      </c>
      <c r="F3" s="60">
        <f>DATE(2025,11,3)</f>
        <v>45964</v>
      </c>
      <c r="G3" s="58" t="s">
        <v>527</v>
      </c>
    </row>
  </sheetData>
  <hyperlinks>
    <hyperlink ref="A1" location="Index!A1" display="Back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zoomScale="90" zoomScaleNormal="90" workbookViewId="0"/>
  </sheetViews>
  <sheetFormatPr defaultColWidth="8.75" defaultRowHeight="14.45"/>
  <cols>
    <col min="1" max="1" width="4.625" customWidth="1"/>
    <col min="2" max="2" width="13.125" customWidth="1"/>
    <col min="3" max="3" width="75" customWidth="1"/>
    <col min="4" max="4" width="14.875" customWidth="1"/>
    <col min="5" max="5" width="14" customWidth="1"/>
    <col min="6" max="6" width="15.75" customWidth="1"/>
    <col min="7" max="7" width="59.5" customWidth="1"/>
    <col min="8" max="8" width="33.375" customWidth="1"/>
    <col min="9" max="9" width="26.125" style="1" customWidth="1"/>
  </cols>
  <sheetData>
    <row r="1" spans="1:9" ht="15.2">
      <c r="A1" s="235" t="s">
        <v>20</v>
      </c>
      <c r="B1" s="27"/>
      <c r="C1" s="27"/>
      <c r="D1" s="27"/>
      <c r="E1" s="27"/>
      <c r="F1" s="27"/>
      <c r="G1" s="27"/>
      <c r="H1" s="27"/>
      <c r="I1" s="57"/>
    </row>
    <row r="2" spans="1:9">
      <c r="A2" s="28"/>
      <c r="B2" s="381" t="s">
        <v>528</v>
      </c>
      <c r="C2" s="382"/>
      <c r="D2" s="382"/>
      <c r="E2" s="382"/>
      <c r="F2" s="382"/>
      <c r="G2" s="382"/>
      <c r="H2" s="382"/>
      <c r="I2" s="382"/>
    </row>
    <row r="3" spans="1:9" ht="15.2">
      <c r="A3" s="28"/>
      <c r="B3" s="383" t="s">
        <v>529</v>
      </c>
      <c r="C3" s="383"/>
      <c r="D3" s="384" t="s">
        <v>530</v>
      </c>
      <c r="E3" s="384"/>
      <c r="F3" s="384"/>
      <c r="G3" s="29"/>
      <c r="H3" s="30"/>
      <c r="I3" s="6"/>
    </row>
    <row r="4" spans="1:9">
      <c r="A4" s="28"/>
      <c r="B4" s="385" t="s">
        <v>531</v>
      </c>
      <c r="C4" s="387" t="s">
        <v>532</v>
      </c>
      <c r="D4" s="395" t="s">
        <v>533</v>
      </c>
      <c r="E4" s="395"/>
      <c r="F4" s="395"/>
      <c r="G4" s="389" t="s">
        <v>534</v>
      </c>
      <c r="H4" s="391"/>
      <c r="I4" s="393"/>
    </row>
    <row r="5" spans="1:9" ht="99" customHeight="1">
      <c r="A5" s="28"/>
      <c r="B5" s="386"/>
      <c r="C5" s="388"/>
      <c r="D5" s="396"/>
      <c r="E5" s="396"/>
      <c r="F5" s="396"/>
      <c r="G5" s="390"/>
      <c r="H5" s="392"/>
      <c r="I5" s="394"/>
    </row>
    <row r="6" spans="1:9" ht="26.85">
      <c r="A6" s="28"/>
      <c r="B6" s="31" t="s">
        <v>535</v>
      </c>
      <c r="C6" s="32" t="s">
        <v>536</v>
      </c>
      <c r="D6" s="32" t="s">
        <v>537</v>
      </c>
      <c r="E6" s="32" t="s">
        <v>538</v>
      </c>
      <c r="F6" s="32" t="s">
        <v>539</v>
      </c>
      <c r="G6" s="33" t="s">
        <v>540</v>
      </c>
      <c r="H6" s="33" t="s">
        <v>541</v>
      </c>
      <c r="I6" s="53" t="s">
        <v>542</v>
      </c>
    </row>
    <row r="7" spans="1:9" ht="37.5">
      <c r="A7" s="28"/>
      <c r="B7" s="34">
        <v>1</v>
      </c>
      <c r="C7" s="35" t="s">
        <v>543</v>
      </c>
      <c r="D7" s="36" t="s">
        <v>544</v>
      </c>
      <c r="E7" s="37">
        <v>45975</v>
      </c>
      <c r="F7" s="38" t="s">
        <v>545</v>
      </c>
      <c r="G7" s="39" t="s">
        <v>546</v>
      </c>
      <c r="H7" s="39"/>
      <c r="I7" s="54"/>
    </row>
    <row r="8" spans="1:9" ht="24.95">
      <c r="A8" s="28"/>
      <c r="B8" s="232">
        <v>2</v>
      </c>
      <c r="C8" s="40" t="s">
        <v>547</v>
      </c>
      <c r="D8" s="41" t="s">
        <v>544</v>
      </c>
      <c r="E8" s="42">
        <v>45975</v>
      </c>
      <c r="F8" s="43" t="s">
        <v>545</v>
      </c>
      <c r="G8" s="44" t="s">
        <v>548</v>
      </c>
      <c r="H8" s="44"/>
      <c r="I8" s="55"/>
    </row>
    <row r="9" spans="1:9" ht="24.95">
      <c r="A9" s="28"/>
      <c r="B9" s="232">
        <v>3</v>
      </c>
      <c r="C9" s="40" t="s">
        <v>549</v>
      </c>
      <c r="D9" s="41" t="s">
        <v>544</v>
      </c>
      <c r="E9" s="42">
        <v>45975</v>
      </c>
      <c r="F9" s="43" t="s">
        <v>545</v>
      </c>
      <c r="G9" s="44" t="s">
        <v>550</v>
      </c>
      <c r="H9" s="44"/>
      <c r="I9" s="55"/>
    </row>
    <row r="10" spans="1:9" ht="24.95">
      <c r="A10" s="28"/>
      <c r="B10" s="232">
        <v>4</v>
      </c>
      <c r="C10" s="40" t="s">
        <v>551</v>
      </c>
      <c r="D10" s="41" t="s">
        <v>544</v>
      </c>
      <c r="E10" s="42">
        <v>45975</v>
      </c>
      <c r="F10" s="43" t="s">
        <v>545</v>
      </c>
      <c r="G10" s="44" t="s">
        <v>552</v>
      </c>
      <c r="H10" s="44"/>
      <c r="I10" s="55" t="s">
        <v>553</v>
      </c>
    </row>
    <row r="11" spans="1:9" ht="24.95">
      <c r="A11" s="28"/>
      <c r="B11" s="232">
        <v>5</v>
      </c>
      <c r="C11" s="40" t="s">
        <v>554</v>
      </c>
      <c r="D11" s="41" t="s">
        <v>544</v>
      </c>
      <c r="E11" s="42">
        <v>45975</v>
      </c>
      <c r="F11" s="43" t="s">
        <v>545</v>
      </c>
      <c r="G11" s="44" t="s">
        <v>555</v>
      </c>
      <c r="H11" s="45"/>
      <c r="I11" s="55"/>
    </row>
    <row r="12" spans="1:9" ht="24.95">
      <c r="A12" s="28"/>
      <c r="B12" s="232">
        <v>6</v>
      </c>
      <c r="C12" s="40" t="s">
        <v>556</v>
      </c>
      <c r="D12" s="41" t="s">
        <v>544</v>
      </c>
      <c r="E12" s="42">
        <v>45975</v>
      </c>
      <c r="F12" s="43" t="s">
        <v>545</v>
      </c>
      <c r="G12" s="44" t="s">
        <v>557</v>
      </c>
      <c r="H12" s="45"/>
      <c r="I12" s="55" t="s">
        <v>553</v>
      </c>
    </row>
    <row r="13" spans="1:9" ht="24.95">
      <c r="A13" s="28"/>
      <c r="B13" s="232">
        <v>7</v>
      </c>
      <c r="C13" s="40" t="s">
        <v>558</v>
      </c>
      <c r="D13" s="41" t="s">
        <v>544</v>
      </c>
      <c r="E13" s="42">
        <v>45975</v>
      </c>
      <c r="F13" s="43" t="s">
        <v>545</v>
      </c>
      <c r="G13" s="44" t="s">
        <v>559</v>
      </c>
      <c r="H13" s="45"/>
      <c r="I13" s="55"/>
    </row>
    <row r="14" spans="1:9" ht="24.95">
      <c r="A14" s="28"/>
      <c r="B14" s="232">
        <v>8</v>
      </c>
      <c r="C14" s="40" t="s">
        <v>560</v>
      </c>
      <c r="D14" s="41" t="s">
        <v>544</v>
      </c>
      <c r="E14" s="42">
        <v>45975</v>
      </c>
      <c r="F14" s="43" t="s">
        <v>545</v>
      </c>
      <c r="G14" s="46" t="s">
        <v>561</v>
      </c>
      <c r="H14" s="44"/>
      <c r="I14" s="55"/>
    </row>
    <row r="15" spans="1:9" ht="24.95">
      <c r="A15" s="28"/>
      <c r="B15" s="232">
        <v>9</v>
      </c>
      <c r="C15" s="40" t="s">
        <v>562</v>
      </c>
      <c r="D15" s="41" t="s">
        <v>544</v>
      </c>
      <c r="E15" s="42">
        <v>45975</v>
      </c>
      <c r="F15" s="43" t="s">
        <v>545</v>
      </c>
      <c r="G15" s="46" t="s">
        <v>563</v>
      </c>
      <c r="H15" s="46"/>
      <c r="I15" s="55" t="s">
        <v>553</v>
      </c>
    </row>
    <row r="16" spans="1:9" ht="24.95">
      <c r="A16" s="28"/>
      <c r="B16" s="232">
        <v>10</v>
      </c>
      <c r="C16" s="40" t="s">
        <v>564</v>
      </c>
      <c r="D16" s="41" t="s">
        <v>544</v>
      </c>
      <c r="E16" s="42">
        <v>45975</v>
      </c>
      <c r="F16" s="43" t="s">
        <v>545</v>
      </c>
      <c r="G16" s="46" t="s">
        <v>565</v>
      </c>
      <c r="H16" s="46"/>
      <c r="I16" s="55" t="s">
        <v>553</v>
      </c>
    </row>
    <row r="17" spans="1:9" ht="24.95">
      <c r="A17" s="28"/>
      <c r="B17" s="232">
        <v>11</v>
      </c>
      <c r="C17" s="40" t="s">
        <v>566</v>
      </c>
      <c r="D17" s="41" t="s">
        <v>544</v>
      </c>
      <c r="E17" s="42">
        <v>45975</v>
      </c>
      <c r="F17" s="43" t="s">
        <v>545</v>
      </c>
      <c r="G17" s="46" t="s">
        <v>567</v>
      </c>
      <c r="H17" s="46"/>
      <c r="I17" s="55" t="s">
        <v>553</v>
      </c>
    </row>
    <row r="18" spans="1:9" ht="24.95">
      <c r="A18" s="28"/>
      <c r="B18" s="232">
        <v>12</v>
      </c>
      <c r="C18" s="40" t="s">
        <v>568</v>
      </c>
      <c r="D18" s="41" t="s">
        <v>544</v>
      </c>
      <c r="E18" s="42">
        <v>45975</v>
      </c>
      <c r="F18" s="43" t="s">
        <v>545</v>
      </c>
      <c r="G18" s="46" t="s">
        <v>569</v>
      </c>
      <c r="H18" s="46"/>
      <c r="I18" s="55"/>
    </row>
    <row r="19" spans="1:9" ht="24.95">
      <c r="A19" s="28"/>
      <c r="B19" s="232">
        <v>13</v>
      </c>
      <c r="C19" s="40" t="s">
        <v>570</v>
      </c>
      <c r="D19" s="41" t="s">
        <v>544</v>
      </c>
      <c r="E19" s="42">
        <v>45975</v>
      </c>
      <c r="F19" s="43" t="s">
        <v>545</v>
      </c>
      <c r="G19" s="46" t="s">
        <v>571</v>
      </c>
      <c r="H19" s="46"/>
      <c r="I19" s="55" t="s">
        <v>553</v>
      </c>
    </row>
    <row r="20" spans="1:9" ht="24.95">
      <c r="A20" s="28"/>
      <c r="B20" s="232">
        <v>14</v>
      </c>
      <c r="C20" s="40" t="s">
        <v>572</v>
      </c>
      <c r="D20" s="41" t="s">
        <v>544</v>
      </c>
      <c r="E20" s="42">
        <v>45975</v>
      </c>
      <c r="F20" s="43" t="s">
        <v>545</v>
      </c>
      <c r="G20" s="46" t="s">
        <v>573</v>
      </c>
      <c r="H20" s="46"/>
      <c r="I20" s="55" t="s">
        <v>553</v>
      </c>
    </row>
    <row r="21" spans="1:9" ht="24.95">
      <c r="A21" s="28"/>
      <c r="B21" s="232">
        <v>15</v>
      </c>
      <c r="C21" s="40" t="s">
        <v>574</v>
      </c>
      <c r="D21" s="41" t="s">
        <v>544</v>
      </c>
      <c r="E21" s="42">
        <v>45975</v>
      </c>
      <c r="F21" s="43" t="s">
        <v>545</v>
      </c>
      <c r="G21" s="46" t="s">
        <v>575</v>
      </c>
      <c r="H21" s="46"/>
      <c r="I21" s="55" t="s">
        <v>553</v>
      </c>
    </row>
    <row r="22" spans="1:9" ht="24.95">
      <c r="A22" s="28"/>
      <c r="B22" s="232">
        <v>16</v>
      </c>
      <c r="C22" s="40" t="s">
        <v>576</v>
      </c>
      <c r="D22" s="41" t="s">
        <v>544</v>
      </c>
      <c r="E22" s="42">
        <v>45975</v>
      </c>
      <c r="F22" s="43" t="s">
        <v>545</v>
      </c>
      <c r="G22" s="46" t="s">
        <v>577</v>
      </c>
      <c r="H22" s="46"/>
      <c r="I22" s="55" t="s">
        <v>553</v>
      </c>
    </row>
    <row r="23" spans="1:9" ht="25.7">
      <c r="A23" s="28"/>
      <c r="B23" s="47">
        <v>17</v>
      </c>
      <c r="C23" s="48" t="s">
        <v>578</v>
      </c>
      <c r="D23" s="49" t="s">
        <v>544</v>
      </c>
      <c r="E23" s="50">
        <v>45975</v>
      </c>
      <c r="F23" s="51" t="s">
        <v>545</v>
      </c>
      <c r="G23" s="52" t="s">
        <v>579</v>
      </c>
      <c r="H23" s="52"/>
      <c r="I23" s="56"/>
    </row>
  </sheetData>
  <mergeCells count="9">
    <mergeCell ref="B2:I2"/>
    <mergeCell ref="B3:C3"/>
    <mergeCell ref="D3:F3"/>
    <mergeCell ref="B4:B5"/>
    <mergeCell ref="C4:C5"/>
    <mergeCell ref="G4:G5"/>
    <mergeCell ref="H4:H5"/>
    <mergeCell ref="I4:I5"/>
    <mergeCell ref="D4:F5"/>
  </mergeCells>
  <hyperlinks>
    <hyperlink ref="A1" location="Index!A1" display="Back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>
      <pane ySplit="2" topLeftCell="A3" activePane="bottomLeft" state="frozen"/>
      <selection pane="bottomLeft"/>
    </sheetView>
  </sheetViews>
  <sheetFormatPr defaultColWidth="8.75" defaultRowHeight="14.45"/>
  <cols>
    <col min="1" max="1" width="7.875" customWidth="1"/>
    <col min="2" max="3" width="9" style="1"/>
    <col min="4" max="4" width="14.5" customWidth="1"/>
    <col min="5" max="5" width="26.25" customWidth="1"/>
    <col min="6" max="6" width="9"/>
    <col min="7" max="7" width="1.25" customWidth="1"/>
    <col min="8" max="8" width="18.125" style="1" customWidth="1"/>
  </cols>
  <sheetData>
    <row r="1" spans="1:8" ht="15.2">
      <c r="A1" s="235" t="s">
        <v>20</v>
      </c>
      <c r="B1" s="57"/>
      <c r="C1" s="57"/>
      <c r="H1" s="57"/>
    </row>
    <row r="2" spans="1:8" s="1" customFormat="1" ht="15.2">
      <c r="A2" s="57"/>
      <c r="B2" s="334" t="s">
        <v>346</v>
      </c>
      <c r="C2" s="334" t="s">
        <v>580</v>
      </c>
      <c r="D2" s="334" t="s">
        <v>581</v>
      </c>
      <c r="E2" s="334" t="s">
        <v>582</v>
      </c>
      <c r="F2" s="334" t="s">
        <v>583</v>
      </c>
      <c r="G2" s="335"/>
      <c r="H2" s="336" t="s">
        <v>584</v>
      </c>
    </row>
    <row r="3" spans="1:8" s="1" customFormat="1" ht="15.2">
      <c r="A3" s="57"/>
      <c r="B3" s="397" t="s">
        <v>585</v>
      </c>
      <c r="C3" s="398"/>
      <c r="D3" s="398"/>
      <c r="E3" s="398"/>
      <c r="F3" s="399"/>
      <c r="G3" s="335"/>
      <c r="H3" s="337"/>
    </row>
    <row r="4" spans="1:8">
      <c r="B4" s="2" t="s">
        <v>586</v>
      </c>
      <c r="C4" s="3">
        <v>1</v>
      </c>
      <c r="D4" s="4" t="s">
        <v>587</v>
      </c>
      <c r="E4" s="4" t="s">
        <v>588</v>
      </c>
      <c r="F4" s="5" t="s">
        <v>589</v>
      </c>
      <c r="H4" s="6" t="s">
        <v>590</v>
      </c>
    </row>
    <row r="5" spans="1:8">
      <c r="B5" s="7" t="s">
        <v>591</v>
      </c>
      <c r="C5" s="8">
        <v>2</v>
      </c>
      <c r="D5" s="9" t="s">
        <v>592</v>
      </c>
      <c r="E5" s="9" t="s">
        <v>593</v>
      </c>
      <c r="F5" s="10" t="s">
        <v>367</v>
      </c>
      <c r="H5" s="11" t="s">
        <v>367</v>
      </c>
    </row>
    <row r="6" spans="1:8">
      <c r="B6" s="7" t="s">
        <v>594</v>
      </c>
      <c r="C6" s="8">
        <v>3</v>
      </c>
      <c r="D6" s="9" t="s">
        <v>595</v>
      </c>
      <c r="E6" s="9" t="s">
        <v>596</v>
      </c>
      <c r="F6" s="10" t="s">
        <v>597</v>
      </c>
      <c r="H6" s="393" t="s">
        <v>433</v>
      </c>
    </row>
    <row r="7" spans="1:8">
      <c r="B7" s="7" t="s">
        <v>598</v>
      </c>
      <c r="C7" s="8">
        <v>4</v>
      </c>
      <c r="D7" s="9" t="s">
        <v>599</v>
      </c>
      <c r="E7" s="9" t="s">
        <v>600</v>
      </c>
      <c r="F7" s="10" t="s">
        <v>597</v>
      </c>
      <c r="H7" s="394"/>
    </row>
    <row r="8" spans="1:8">
      <c r="B8" s="7" t="s">
        <v>601</v>
      </c>
      <c r="C8" s="8">
        <v>5</v>
      </c>
      <c r="D8" s="9" t="s">
        <v>602</v>
      </c>
      <c r="E8" s="9" t="s">
        <v>603</v>
      </c>
      <c r="F8" s="10" t="s">
        <v>589</v>
      </c>
      <c r="H8" s="393" t="s">
        <v>604</v>
      </c>
    </row>
    <row r="9" spans="1:8">
      <c r="B9" s="7" t="s">
        <v>605</v>
      </c>
      <c r="C9" s="8">
        <v>6</v>
      </c>
      <c r="D9" s="9" t="s">
        <v>606</v>
      </c>
      <c r="E9" s="9" t="s">
        <v>607</v>
      </c>
      <c r="F9" s="10" t="s">
        <v>597</v>
      </c>
      <c r="H9" s="394"/>
    </row>
    <row r="10" spans="1:8">
      <c r="B10" s="7" t="s">
        <v>608</v>
      </c>
      <c r="C10" s="8">
        <v>7</v>
      </c>
      <c r="D10" s="9" t="s">
        <v>609</v>
      </c>
      <c r="E10" s="9" t="s">
        <v>610</v>
      </c>
      <c r="F10" s="10" t="s">
        <v>324</v>
      </c>
      <c r="H10" s="11" t="s">
        <v>367</v>
      </c>
    </row>
    <row r="11" spans="1:8" ht="15.2">
      <c r="B11" s="12" t="s">
        <v>611</v>
      </c>
      <c r="C11" s="13">
        <v>8</v>
      </c>
      <c r="D11" s="14" t="s">
        <v>612</v>
      </c>
      <c r="E11" s="14" t="s">
        <v>613</v>
      </c>
      <c r="F11" s="15" t="s">
        <v>597</v>
      </c>
      <c r="H11" s="16" t="s">
        <v>354</v>
      </c>
    </row>
    <row r="13" spans="1:8" ht="15.2">
      <c r="B13" s="57"/>
      <c r="C13" s="57"/>
      <c r="H13" s="57"/>
    </row>
    <row r="14" spans="1:8" ht="15.2">
      <c r="B14" s="400" t="s">
        <v>614</v>
      </c>
      <c r="C14" s="401"/>
      <c r="D14" s="401"/>
      <c r="E14" s="401"/>
      <c r="F14" s="402"/>
      <c r="G14" s="338"/>
      <c r="H14" s="335"/>
    </row>
    <row r="15" spans="1:8">
      <c r="B15" s="2" t="s">
        <v>615</v>
      </c>
      <c r="C15" s="3">
        <v>1</v>
      </c>
      <c r="D15" s="4" t="s">
        <v>616</v>
      </c>
      <c r="E15" s="4" t="s">
        <v>616</v>
      </c>
      <c r="F15" s="5" t="s">
        <v>589</v>
      </c>
      <c r="H15" s="6" t="s">
        <v>590</v>
      </c>
    </row>
    <row r="16" spans="1:8">
      <c r="B16" s="7" t="s">
        <v>617</v>
      </c>
      <c r="C16" s="8">
        <v>2</v>
      </c>
      <c r="D16" s="9" t="s">
        <v>367</v>
      </c>
      <c r="E16" s="9" t="s">
        <v>367</v>
      </c>
      <c r="F16" s="10" t="s">
        <v>324</v>
      </c>
      <c r="H16" s="11" t="s">
        <v>367</v>
      </c>
    </row>
    <row r="17" spans="2:8">
      <c r="B17" s="7" t="s">
        <v>618</v>
      </c>
      <c r="C17" s="8">
        <v>3</v>
      </c>
      <c r="D17" s="9" t="s">
        <v>619</v>
      </c>
      <c r="E17" s="9" t="s">
        <v>620</v>
      </c>
      <c r="F17" s="10" t="s">
        <v>589</v>
      </c>
      <c r="H17" s="393" t="s">
        <v>621</v>
      </c>
    </row>
    <row r="18" spans="2:8">
      <c r="B18" s="7" t="s">
        <v>622</v>
      </c>
      <c r="C18" s="8">
        <v>4</v>
      </c>
      <c r="D18" s="9" t="s">
        <v>623</v>
      </c>
      <c r="E18" s="9" t="s">
        <v>620</v>
      </c>
      <c r="F18" s="10" t="s">
        <v>589</v>
      </c>
      <c r="H18" s="406"/>
    </row>
    <row r="19" spans="2:8">
      <c r="B19" s="7" t="s">
        <v>624</v>
      </c>
      <c r="C19" s="8">
        <v>5</v>
      </c>
      <c r="D19" s="9" t="s">
        <v>625</v>
      </c>
      <c r="E19" s="9" t="s">
        <v>620</v>
      </c>
      <c r="F19" s="10" t="s">
        <v>589</v>
      </c>
      <c r="H19" s="394"/>
    </row>
    <row r="20" spans="2:8">
      <c r="B20" s="7" t="s">
        <v>626</v>
      </c>
      <c r="C20" s="8">
        <v>6</v>
      </c>
      <c r="D20" s="9" t="s">
        <v>627</v>
      </c>
      <c r="E20" s="9" t="s">
        <v>628</v>
      </c>
      <c r="F20" s="10" t="s">
        <v>597</v>
      </c>
      <c r="H20" s="11" t="s">
        <v>354</v>
      </c>
    </row>
    <row r="21" spans="2:8">
      <c r="B21" s="7" t="s">
        <v>629</v>
      </c>
      <c r="C21" s="8">
        <v>7</v>
      </c>
      <c r="D21" s="9" t="s">
        <v>367</v>
      </c>
      <c r="E21" s="9" t="s">
        <v>367</v>
      </c>
      <c r="F21" s="10" t="s">
        <v>324</v>
      </c>
      <c r="H21" s="11" t="s">
        <v>367</v>
      </c>
    </row>
    <row r="22" spans="2:8">
      <c r="B22" s="7" t="s">
        <v>630</v>
      </c>
      <c r="C22" s="8">
        <v>8</v>
      </c>
      <c r="D22" s="9" t="s">
        <v>631</v>
      </c>
      <c r="E22" s="9" t="s">
        <v>620</v>
      </c>
      <c r="F22" s="10" t="s">
        <v>589</v>
      </c>
      <c r="H22" s="393" t="s">
        <v>632</v>
      </c>
    </row>
    <row r="23" spans="2:8">
      <c r="B23" s="7" t="s">
        <v>633</v>
      </c>
      <c r="C23" s="8">
        <v>9</v>
      </c>
      <c r="D23" s="9" t="s">
        <v>634</v>
      </c>
      <c r="E23" s="9" t="s">
        <v>620</v>
      </c>
      <c r="F23" s="10" t="s">
        <v>589</v>
      </c>
      <c r="H23" s="406"/>
    </row>
    <row r="24" spans="2:8">
      <c r="B24" s="7" t="s">
        <v>635</v>
      </c>
      <c r="C24" s="8">
        <v>10</v>
      </c>
      <c r="D24" s="9" t="s">
        <v>636</v>
      </c>
      <c r="E24" s="9" t="s">
        <v>620</v>
      </c>
      <c r="F24" s="10" t="s">
        <v>589</v>
      </c>
      <c r="H24" s="406"/>
    </row>
    <row r="25" spans="2:8">
      <c r="B25" s="7" t="s">
        <v>637</v>
      </c>
      <c r="C25" s="8">
        <v>11</v>
      </c>
      <c r="D25" s="9" t="s">
        <v>638</v>
      </c>
      <c r="E25" s="9" t="s">
        <v>620</v>
      </c>
      <c r="F25" s="10" t="s">
        <v>589</v>
      </c>
      <c r="H25" s="394"/>
    </row>
    <row r="26" spans="2:8" ht="15.2">
      <c r="B26" s="12" t="s">
        <v>639</v>
      </c>
      <c r="C26" s="13">
        <v>12</v>
      </c>
      <c r="D26" s="14" t="s">
        <v>640</v>
      </c>
      <c r="E26" s="14" t="s">
        <v>628</v>
      </c>
      <c r="F26" s="15" t="s">
        <v>597</v>
      </c>
      <c r="H26" s="16" t="s">
        <v>354</v>
      </c>
    </row>
    <row r="27" spans="2:8" ht="15.2">
      <c r="B27" s="57"/>
      <c r="C27" s="57"/>
      <c r="H27" s="57"/>
    </row>
    <row r="28" spans="2:8" ht="15.2">
      <c r="B28" s="403" t="s">
        <v>641</v>
      </c>
      <c r="C28" s="404"/>
      <c r="D28" s="404"/>
      <c r="E28" s="404"/>
      <c r="F28" s="405"/>
      <c r="H28" s="57"/>
    </row>
    <row r="29" spans="2:8">
      <c r="B29" s="17" t="s">
        <v>642</v>
      </c>
      <c r="C29" s="18">
        <v>1</v>
      </c>
      <c r="D29" s="19" t="s">
        <v>643</v>
      </c>
      <c r="E29" s="19" t="s">
        <v>644</v>
      </c>
      <c r="F29" s="20"/>
      <c r="H29" s="57"/>
    </row>
    <row r="30" spans="2:8">
      <c r="B30" s="21" t="s">
        <v>645</v>
      </c>
      <c r="C30" s="58">
        <v>2</v>
      </c>
      <c r="D30" s="59" t="s">
        <v>646</v>
      </c>
      <c r="E30" s="9" t="s">
        <v>620</v>
      </c>
      <c r="F30" s="22"/>
      <c r="H30" s="57"/>
    </row>
    <row r="31" spans="2:8">
      <c r="B31" s="21" t="s">
        <v>647</v>
      </c>
      <c r="C31" s="58">
        <v>3</v>
      </c>
      <c r="D31" s="59" t="s">
        <v>367</v>
      </c>
      <c r="E31" s="59" t="s">
        <v>367</v>
      </c>
      <c r="F31" s="22"/>
      <c r="H31" s="57"/>
    </row>
    <row r="32" spans="2:8">
      <c r="B32" s="21" t="s">
        <v>648</v>
      </c>
      <c r="C32" s="58">
        <v>4</v>
      </c>
      <c r="D32" s="59" t="s">
        <v>649</v>
      </c>
      <c r="E32" s="9" t="s">
        <v>620</v>
      </c>
      <c r="F32" s="22"/>
      <c r="H32" s="57"/>
    </row>
    <row r="33" spans="2:6" ht="15.2">
      <c r="B33" s="23" t="s">
        <v>650</v>
      </c>
      <c r="C33" s="24">
        <v>5</v>
      </c>
      <c r="D33" s="25" t="s">
        <v>372</v>
      </c>
      <c r="E33" s="14" t="s">
        <v>620</v>
      </c>
      <c r="F33" s="26"/>
    </row>
  </sheetData>
  <mergeCells count="7">
    <mergeCell ref="B3:F3"/>
    <mergeCell ref="B14:F14"/>
    <mergeCell ref="B28:F28"/>
    <mergeCell ref="H6:H7"/>
    <mergeCell ref="H8:H9"/>
    <mergeCell ref="H17:H19"/>
    <mergeCell ref="H22:H25"/>
  </mergeCells>
  <hyperlinks>
    <hyperlink ref="A1" location="Index!A1" display="Back" xr:uid="{00000000-0004-0000-0B00-000000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59C42F536F144E977048F8B9FBBCC6" ma:contentTypeVersion="3" ma:contentTypeDescription="Create a new document." ma:contentTypeScope="" ma:versionID="0fa1d4b89ce8953ee113426db3570ccb">
  <xsd:schema xmlns:xsd="http://www.w3.org/2001/XMLSchema" xmlns:xs="http://www.w3.org/2001/XMLSchema" xmlns:p="http://schemas.microsoft.com/office/2006/metadata/properties" xmlns:ns2="bc67efa7-cc4c-46fd-a7e4-b0b117b0e089" targetNamespace="http://schemas.microsoft.com/office/2006/metadata/properties" ma:root="true" ma:fieldsID="a7a4e56105c3c00ac29aa892d9ea90ac" ns2:_="">
    <xsd:import namespace="bc67efa7-cc4c-46fd-a7e4-b0b117b0e0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7efa7-cc4c-46fd-a7e4-b0b117b0e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2E60A1-1A06-46A0-895D-91F96815509F}"/>
</file>

<file path=customXml/itemProps2.xml><?xml version="1.0" encoding="utf-8"?>
<ds:datastoreItem xmlns:ds="http://schemas.openxmlformats.org/officeDocument/2006/customXml" ds:itemID="{025998B6-3BA1-4A4E-B149-85CEBB9E42FF}"/>
</file>

<file path=customXml/itemProps3.xml><?xml version="1.0" encoding="utf-8"?>
<ds:datastoreItem xmlns:ds="http://schemas.openxmlformats.org/officeDocument/2006/customXml" ds:itemID="{984AEB1C-58D1-4AE0-B4D6-31E1763EF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</dc:creator>
  <cp:keywords/>
  <dc:description/>
  <cp:lastModifiedBy>Guest User</cp:lastModifiedBy>
  <cp:revision/>
  <dcterms:created xsi:type="dcterms:W3CDTF">2020-07-23T12:28:00Z</dcterms:created>
  <dcterms:modified xsi:type="dcterms:W3CDTF">2025-11-20T06:15:26Z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8817A12D7D9C4E12A69663723B65C19E_13</vt:lpwstr>
  </property>
  <property fmtid="{D5CDD505-2E9C-101B-9397-08002B2CF9AE}" pid="4" name="ContentTypeId">
    <vt:lpwstr>0x0101008959C42F536F144E977048F8B9FBBCC6</vt:lpwstr>
  </property>
</Properties>
</file>